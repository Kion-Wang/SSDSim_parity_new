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heme/themeOverride1.xml" ContentType="application/vnd.openxmlformats-officedocument.themeOverrid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heme/themeOverride2.xml" ContentType="application/vnd.openxmlformats-officedocument.themeOverrid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heme/themeOverride3.xml" ContentType="application/vnd.openxmlformats-officedocument.themeOverrid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theme/themeOverride4.xml" ContentType="application/vnd.openxmlformats-officedocument.themeOverrid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桌面\数据\"/>
    </mc:Choice>
  </mc:AlternateContent>
  <xr:revisionPtr revIDLastSave="0" documentId="13_ncr:1_{7183732A-41FB-468A-941C-2390039A003A}" xr6:coauthVersionLast="47" xr6:coauthVersionMax="47" xr10:uidLastSave="{00000000-0000-0000-0000-000000000000}"/>
  <bookViews>
    <workbookView xWindow="-110" yWindow="-110" windowWidth="19420" windowHeight="10560" activeTab="7" xr2:uid="{00000000-000D-0000-FFFF-FFFF00000000}"/>
  </bookViews>
  <sheets>
    <sheet name="ALL" sheetId="1" r:id="rId1"/>
    <sheet name="msrc" sheetId="2" r:id="rId2"/>
    <sheet name="Ali" sheetId="3" r:id="rId3"/>
    <sheet name="Lun" sheetId="4" r:id="rId4"/>
    <sheet name="RAID3+1" sheetId="5" r:id="rId5"/>
    <sheet name="write_better_cause" sheetId="6" r:id="rId6"/>
    <sheet name="RAID5+1" sheetId="7" r:id="rId7"/>
    <sheet name="RAID7+1" sheetId="8" r:id="rId8"/>
  </sheets>
  <calcPr calcId="191029"/>
</workbook>
</file>

<file path=xl/calcChain.xml><?xml version="1.0" encoding="utf-8"?>
<calcChain xmlns="http://schemas.openxmlformats.org/spreadsheetml/2006/main">
  <c r="S91" i="5" l="1"/>
  <c r="S77" i="5"/>
  <c r="S79" i="5"/>
  <c r="S78" i="5"/>
  <c r="K79" i="5"/>
  <c r="L79" i="5"/>
  <c r="M79" i="5"/>
  <c r="N79" i="5"/>
  <c r="O79" i="5"/>
  <c r="P79" i="5"/>
  <c r="Q79" i="5"/>
  <c r="R79" i="5"/>
  <c r="K78" i="5"/>
  <c r="L78" i="5"/>
  <c r="M78" i="5"/>
  <c r="N78" i="5"/>
  <c r="O78" i="5"/>
  <c r="P78" i="5"/>
  <c r="Q78" i="5"/>
  <c r="R78" i="5"/>
  <c r="S64" i="5"/>
  <c r="S66" i="5"/>
  <c r="S65" i="5"/>
  <c r="K66" i="5"/>
  <c r="L66" i="5"/>
  <c r="M66" i="5"/>
  <c r="N66" i="5"/>
  <c r="O66" i="5"/>
  <c r="P66" i="5"/>
  <c r="Q66" i="5"/>
  <c r="R66" i="5"/>
  <c r="K65" i="5"/>
  <c r="L65" i="5"/>
  <c r="M65" i="5"/>
  <c r="N65" i="5"/>
  <c r="O65" i="5"/>
  <c r="P65" i="5"/>
  <c r="Q65" i="5"/>
  <c r="R65" i="5"/>
  <c r="P55" i="5"/>
  <c r="M55" i="5"/>
  <c r="S53" i="5"/>
  <c r="S54" i="5"/>
  <c r="S52" i="5"/>
  <c r="K54" i="5"/>
  <c r="L54" i="5"/>
  <c r="M54" i="5"/>
  <c r="N54" i="5"/>
  <c r="O54" i="5"/>
  <c r="P54" i="5"/>
  <c r="Q54" i="5"/>
  <c r="R54" i="5"/>
  <c r="K53" i="5"/>
  <c r="L53" i="5"/>
  <c r="M53" i="5"/>
  <c r="N53" i="5"/>
  <c r="O53" i="5"/>
  <c r="P53" i="5"/>
  <c r="Q53" i="5"/>
  <c r="R53" i="5"/>
  <c r="L52" i="5"/>
  <c r="M52" i="5"/>
  <c r="N52" i="5"/>
  <c r="O52" i="5"/>
  <c r="P52" i="5"/>
  <c r="Q52" i="5"/>
  <c r="R52" i="5"/>
  <c r="K52" i="5"/>
  <c r="R106" i="5" l="1"/>
  <c r="R105" i="5"/>
  <c r="R104" i="5"/>
  <c r="Q106" i="5"/>
  <c r="Q105" i="5"/>
  <c r="Q104" i="5"/>
  <c r="P106" i="5"/>
  <c r="P105" i="5"/>
  <c r="P104" i="5"/>
  <c r="O106" i="5"/>
  <c r="N106" i="5"/>
  <c r="M106" i="5"/>
  <c r="O105" i="5"/>
  <c r="N105" i="5"/>
  <c r="M105" i="5"/>
  <c r="O104" i="5"/>
  <c r="N104" i="5"/>
  <c r="M104" i="5"/>
  <c r="D106" i="5"/>
  <c r="E106" i="5"/>
  <c r="G106" i="5"/>
  <c r="H106" i="5"/>
  <c r="I106" i="5"/>
  <c r="B106" i="5"/>
  <c r="D105" i="5"/>
  <c r="E105" i="5"/>
  <c r="G105" i="5"/>
  <c r="H105" i="5"/>
  <c r="I105" i="5"/>
  <c r="B105" i="5"/>
  <c r="D104" i="5"/>
  <c r="E104" i="5"/>
  <c r="G104" i="5"/>
  <c r="H104" i="5"/>
  <c r="I104" i="5"/>
  <c r="B104" i="5"/>
  <c r="C79" i="5"/>
  <c r="D79" i="5"/>
  <c r="E79" i="5"/>
  <c r="F79" i="5"/>
  <c r="G79" i="5"/>
  <c r="H79" i="5"/>
  <c r="I79" i="5"/>
  <c r="C78" i="5"/>
  <c r="D78" i="5"/>
  <c r="E78" i="5"/>
  <c r="F78" i="5"/>
  <c r="G78" i="5"/>
  <c r="H78" i="5"/>
  <c r="I78" i="5"/>
  <c r="B79" i="5"/>
  <c r="B78" i="5"/>
  <c r="B77" i="5"/>
  <c r="C66" i="5"/>
  <c r="D66" i="5"/>
  <c r="E66" i="5"/>
  <c r="F66" i="5"/>
  <c r="G66" i="5"/>
  <c r="H66" i="5"/>
  <c r="I66" i="5"/>
  <c r="C65" i="5"/>
  <c r="D65" i="5"/>
  <c r="E65" i="5"/>
  <c r="F65" i="5"/>
  <c r="G65" i="5"/>
  <c r="H65" i="5"/>
  <c r="I65" i="5"/>
  <c r="B66" i="5"/>
  <c r="B65" i="5"/>
  <c r="C53" i="5"/>
  <c r="D53" i="5"/>
  <c r="E53" i="5"/>
  <c r="F53" i="5"/>
  <c r="G53" i="5"/>
  <c r="H53" i="5"/>
  <c r="I53" i="5"/>
  <c r="B53" i="5"/>
  <c r="C52" i="5"/>
  <c r="D52" i="5"/>
  <c r="E52" i="5"/>
  <c r="F52" i="5"/>
  <c r="G52" i="5"/>
  <c r="H52" i="5"/>
  <c r="I52" i="5"/>
  <c r="B52" i="5"/>
  <c r="R91" i="5"/>
  <c r="R90" i="5"/>
  <c r="R89" i="5"/>
  <c r="Q91" i="5"/>
  <c r="Q90" i="5"/>
  <c r="Q89" i="5"/>
  <c r="P91" i="5"/>
  <c r="P90" i="5"/>
  <c r="P89" i="5"/>
  <c r="O91" i="5"/>
  <c r="N91" i="5"/>
  <c r="M91" i="5"/>
  <c r="O90" i="5"/>
  <c r="N90" i="5"/>
  <c r="M90" i="5"/>
  <c r="O89" i="5"/>
  <c r="N89" i="5"/>
  <c r="M89" i="5"/>
  <c r="L91" i="5"/>
  <c r="L90" i="5"/>
  <c r="L89" i="5"/>
  <c r="K90" i="5"/>
  <c r="K89" i="5"/>
  <c r="R77" i="5"/>
  <c r="R76" i="5"/>
  <c r="R75" i="5"/>
  <c r="Q77" i="5"/>
  <c r="Q76" i="5"/>
  <c r="Q75" i="5"/>
  <c r="P77" i="5"/>
  <c r="P76" i="5"/>
  <c r="P75" i="5"/>
  <c r="L77" i="5"/>
  <c r="L76" i="5"/>
  <c r="L75" i="5"/>
  <c r="O77" i="5"/>
  <c r="N77" i="5"/>
  <c r="M77" i="5"/>
  <c r="O76" i="5"/>
  <c r="N76" i="5"/>
  <c r="M76" i="5"/>
  <c r="O75" i="5"/>
  <c r="N75" i="5"/>
  <c r="M75" i="5"/>
  <c r="K77" i="5"/>
  <c r="K76" i="5"/>
  <c r="K75" i="5"/>
  <c r="R64" i="5"/>
  <c r="R63" i="5"/>
  <c r="R62" i="5"/>
  <c r="Q64" i="5"/>
  <c r="Q63" i="5"/>
  <c r="Q62" i="5"/>
  <c r="P64" i="5"/>
  <c r="P63" i="5"/>
  <c r="P62" i="5"/>
  <c r="O64" i="5"/>
  <c r="N64" i="5"/>
  <c r="M64" i="5"/>
  <c r="O63" i="5"/>
  <c r="N63" i="5"/>
  <c r="M63" i="5"/>
  <c r="O62" i="5"/>
  <c r="N62" i="5"/>
  <c r="M62" i="5"/>
  <c r="L64" i="5"/>
  <c r="L63" i="5"/>
  <c r="L62" i="5"/>
  <c r="K64" i="5"/>
  <c r="K63" i="5"/>
  <c r="K62" i="5"/>
  <c r="R51" i="5"/>
  <c r="R50" i="5"/>
  <c r="R49" i="5"/>
  <c r="Q51" i="5"/>
  <c r="Q50" i="5"/>
  <c r="Q49" i="5"/>
  <c r="P51" i="5"/>
  <c r="P50" i="5"/>
  <c r="P49" i="5"/>
  <c r="O51" i="5"/>
  <c r="N51" i="5"/>
  <c r="M51" i="5"/>
  <c r="O50" i="5"/>
  <c r="N50" i="5"/>
  <c r="M50" i="5"/>
  <c r="O49" i="5"/>
  <c r="N49" i="5"/>
  <c r="M49" i="5"/>
  <c r="L51" i="5"/>
  <c r="L50" i="5"/>
  <c r="L49" i="5"/>
  <c r="K51" i="5"/>
  <c r="K50" i="5"/>
  <c r="K49" i="5"/>
  <c r="C91" i="5"/>
  <c r="D91" i="5"/>
  <c r="E91" i="5"/>
  <c r="F91" i="5"/>
  <c r="G91" i="5"/>
  <c r="H91" i="5"/>
  <c r="I91" i="5"/>
  <c r="B91" i="5"/>
  <c r="C90" i="5"/>
  <c r="D90" i="5"/>
  <c r="E90" i="5"/>
  <c r="F90" i="5"/>
  <c r="G90" i="5"/>
  <c r="H90" i="5"/>
  <c r="I90" i="5"/>
  <c r="B90" i="5"/>
  <c r="C89" i="5"/>
  <c r="D89" i="5"/>
  <c r="E89" i="5"/>
  <c r="F89" i="5"/>
  <c r="G89" i="5"/>
  <c r="H89" i="5"/>
  <c r="I89" i="5"/>
  <c r="B89" i="5"/>
  <c r="C77" i="5"/>
  <c r="D77" i="5"/>
  <c r="E77" i="5"/>
  <c r="F77" i="5"/>
  <c r="G77" i="5"/>
  <c r="H77" i="5"/>
  <c r="I77" i="5"/>
  <c r="C76" i="5"/>
  <c r="D76" i="5"/>
  <c r="E76" i="5"/>
  <c r="F76" i="5"/>
  <c r="G76" i="5"/>
  <c r="H76" i="5"/>
  <c r="I76" i="5"/>
  <c r="B76" i="5"/>
  <c r="C75" i="5"/>
  <c r="D75" i="5"/>
  <c r="E75" i="5"/>
  <c r="F75" i="5"/>
  <c r="G75" i="5"/>
  <c r="H75" i="5"/>
  <c r="I75" i="5"/>
  <c r="B75" i="5"/>
  <c r="C64" i="5"/>
  <c r="D64" i="5"/>
  <c r="E64" i="5"/>
  <c r="F64" i="5"/>
  <c r="G64" i="5"/>
  <c r="H64" i="5"/>
  <c r="I64" i="5"/>
  <c r="B64" i="5"/>
  <c r="C63" i="5"/>
  <c r="D63" i="5"/>
  <c r="E63" i="5"/>
  <c r="F63" i="5"/>
  <c r="G63" i="5"/>
  <c r="H63" i="5"/>
  <c r="I63" i="5"/>
  <c r="B63" i="5"/>
  <c r="B62" i="5"/>
  <c r="D50" i="5"/>
  <c r="C62" i="5"/>
  <c r="D62" i="5"/>
  <c r="E62" i="5"/>
  <c r="F62" i="5"/>
  <c r="G62" i="5"/>
  <c r="H62" i="5"/>
  <c r="I62" i="5"/>
  <c r="C51" i="5"/>
  <c r="C54" i="5" s="1"/>
  <c r="D51" i="5"/>
  <c r="D54" i="5" s="1"/>
  <c r="E51" i="5"/>
  <c r="E54" i="5" s="1"/>
  <c r="F51" i="5"/>
  <c r="F54" i="5" s="1"/>
  <c r="G51" i="5"/>
  <c r="G54" i="5" s="1"/>
  <c r="H51" i="5"/>
  <c r="H54" i="5" s="1"/>
  <c r="I51" i="5"/>
  <c r="B51" i="5"/>
  <c r="B54" i="5" s="1"/>
  <c r="C50" i="5"/>
  <c r="E50" i="5"/>
  <c r="F50" i="5"/>
  <c r="G50" i="5"/>
  <c r="H50" i="5"/>
  <c r="I50" i="5"/>
  <c r="B50" i="5"/>
  <c r="C49" i="5"/>
  <c r="D49" i="5"/>
  <c r="E49" i="5"/>
  <c r="F49" i="5"/>
  <c r="G49" i="5"/>
  <c r="H49" i="5"/>
  <c r="I49" i="5"/>
  <c r="B49" i="5"/>
  <c r="B8" i="3"/>
  <c r="C8" i="3"/>
  <c r="D8" i="3"/>
  <c r="E8" i="3"/>
  <c r="F8" i="3"/>
  <c r="G8" i="3"/>
  <c r="H8" i="3"/>
  <c r="I8" i="3"/>
  <c r="K8" i="3"/>
  <c r="L8" i="3"/>
  <c r="M8" i="3"/>
  <c r="I16" i="3"/>
  <c r="B19" i="2"/>
  <c r="B18" i="2"/>
  <c r="B17" i="2"/>
  <c r="B9" i="2"/>
  <c r="I15" i="3"/>
  <c r="I14" i="3"/>
  <c r="J8" i="3"/>
  <c r="C19" i="4"/>
  <c r="C18" i="4"/>
  <c r="C17" i="4"/>
  <c r="D19" i="4"/>
  <c r="D18" i="4"/>
  <c r="D17" i="4"/>
  <c r="E19" i="4"/>
  <c r="E18" i="4"/>
  <c r="E17" i="4"/>
  <c r="C9" i="4"/>
  <c r="D9" i="4"/>
  <c r="E9" i="4"/>
  <c r="F9" i="4"/>
  <c r="G9" i="4"/>
  <c r="H9" i="4"/>
  <c r="I9" i="4"/>
  <c r="J9" i="4"/>
  <c r="K9" i="4"/>
  <c r="L9" i="4"/>
  <c r="C8" i="4"/>
  <c r="D8" i="4"/>
  <c r="E8" i="4"/>
  <c r="F8" i="4"/>
  <c r="G8" i="4"/>
  <c r="H8" i="4"/>
  <c r="I8" i="4"/>
  <c r="J8" i="4"/>
  <c r="K8" i="4"/>
  <c r="L8" i="4"/>
  <c r="C7" i="4"/>
  <c r="D7" i="4"/>
  <c r="E7" i="4"/>
  <c r="F7" i="4"/>
  <c r="G7" i="4"/>
  <c r="H7" i="4"/>
  <c r="I7" i="4"/>
  <c r="J7" i="4"/>
  <c r="K7" i="4"/>
  <c r="L7" i="4"/>
  <c r="B9" i="4"/>
  <c r="B8" i="4"/>
  <c r="B7" i="4"/>
  <c r="J19" i="2"/>
  <c r="J18" i="2"/>
  <c r="J17" i="2"/>
  <c r="I19" i="2"/>
  <c r="I18" i="2"/>
  <c r="I17" i="2"/>
  <c r="H19" i="2"/>
  <c r="H18" i="2"/>
  <c r="H17" i="2"/>
  <c r="G19" i="2"/>
  <c r="G18" i="2"/>
  <c r="G17" i="2"/>
  <c r="F19" i="2"/>
  <c r="F18" i="2"/>
  <c r="F17" i="2"/>
  <c r="D19" i="2"/>
  <c r="D18" i="2"/>
  <c r="D17" i="2"/>
  <c r="C19" i="2"/>
  <c r="C18" i="2"/>
  <c r="C17" i="2"/>
  <c r="C9" i="2"/>
  <c r="D9" i="2"/>
  <c r="E9" i="2"/>
  <c r="F9" i="2"/>
  <c r="G9" i="2"/>
  <c r="H9" i="2"/>
  <c r="I9" i="2"/>
  <c r="J9" i="2"/>
  <c r="K9" i="2"/>
  <c r="L9" i="2"/>
  <c r="M9" i="2"/>
  <c r="N9" i="2"/>
  <c r="O9" i="2"/>
  <c r="C8" i="2"/>
  <c r="D8" i="2"/>
  <c r="E8" i="2"/>
  <c r="F8" i="2"/>
  <c r="G8" i="2"/>
  <c r="H8" i="2"/>
  <c r="I8" i="2"/>
  <c r="J8" i="2"/>
  <c r="K8" i="2"/>
  <c r="L8" i="2"/>
  <c r="M8" i="2"/>
  <c r="N8" i="2"/>
  <c r="O8" i="2"/>
  <c r="C7" i="2"/>
  <c r="D7" i="2"/>
  <c r="E7" i="2"/>
  <c r="F7" i="2"/>
  <c r="G7" i="2"/>
  <c r="H7" i="2"/>
  <c r="I7" i="2"/>
  <c r="J7" i="2"/>
  <c r="K7" i="2"/>
  <c r="L7" i="2"/>
  <c r="M7" i="2"/>
  <c r="N7" i="2"/>
  <c r="O7" i="2"/>
  <c r="B8" i="2"/>
  <c r="B7" i="2"/>
  <c r="I6" i="2"/>
  <c r="B15" i="3"/>
  <c r="B14" i="3"/>
  <c r="C15" i="3"/>
  <c r="C14" i="3"/>
  <c r="D15" i="3"/>
  <c r="D14" i="3"/>
  <c r="E15" i="3"/>
  <c r="E14" i="3"/>
  <c r="F15" i="3"/>
  <c r="F14" i="3"/>
  <c r="G15" i="3"/>
  <c r="G14" i="3"/>
  <c r="H14" i="3"/>
  <c r="H15" i="3"/>
  <c r="C7" i="3"/>
  <c r="D7" i="3"/>
  <c r="E7" i="3"/>
  <c r="F7" i="3"/>
  <c r="G7" i="3"/>
  <c r="H7" i="3"/>
  <c r="I7" i="3"/>
  <c r="J7" i="3"/>
  <c r="K7" i="3"/>
  <c r="L7" i="3"/>
  <c r="M7" i="3"/>
  <c r="C6" i="3"/>
  <c r="D6" i="3"/>
  <c r="E6" i="3"/>
  <c r="F6" i="3"/>
  <c r="G6" i="3"/>
  <c r="H6" i="3"/>
  <c r="I6" i="3"/>
  <c r="J6" i="3"/>
  <c r="K6" i="3"/>
  <c r="L6" i="3"/>
  <c r="M6" i="3"/>
  <c r="B7" i="3"/>
  <c r="B6" i="3"/>
  <c r="J6" i="2"/>
  <c r="K6" i="2"/>
  <c r="L6" i="2"/>
  <c r="M6" i="2"/>
  <c r="N6" i="2"/>
  <c r="B55" i="5" l="1"/>
  <c r="I54" i="5"/>
  <c r="G55" i="5" s="1"/>
</calcChain>
</file>

<file path=xl/sharedStrings.xml><?xml version="1.0" encoding="utf-8"?>
<sst xmlns="http://schemas.openxmlformats.org/spreadsheetml/2006/main" count="519" uniqueCount="94">
  <si>
    <t>file_name</t>
  </si>
  <si>
    <t>Req_#</t>
  </si>
  <si>
    <t>Write_Ratio</t>
  </si>
  <si>
    <t>Avg_Write_Size(KB)</t>
  </si>
  <si>
    <t>Avg_Read_Size</t>
  </si>
  <si>
    <t>Avg_Interval(us)</t>
  </si>
  <si>
    <t>writeH_All_2</t>
  </si>
  <si>
    <t>writeH_2</t>
  </si>
  <si>
    <t>writeH_All_4</t>
  </si>
  <si>
    <t>writeH_4</t>
  </si>
  <si>
    <t>writeH_All_8</t>
  </si>
  <si>
    <t>writeH_8</t>
  </si>
  <si>
    <t>footPrint(GB)</t>
  </si>
  <si>
    <t>hm_0.csv</t>
  </si>
  <si>
    <t>hm_1.csv</t>
  </si>
  <si>
    <t>mds_1.csv</t>
  </si>
  <si>
    <t>proj_3.csv</t>
  </si>
  <si>
    <t>src1_2.csv</t>
  </si>
  <si>
    <t>src2_1.csv</t>
  </si>
  <si>
    <t>src2_2.csv</t>
  </si>
  <si>
    <t>stg_0.csv</t>
  </si>
  <si>
    <t>stg_1.csv</t>
  </si>
  <si>
    <t>ts_0.csv</t>
  </si>
  <si>
    <t>usr_0.csv</t>
  </si>
  <si>
    <t>wdev_0.csv</t>
  </si>
  <si>
    <t>web1_pre.csv</t>
  </si>
  <si>
    <t>web_0.csv</t>
  </si>
  <si>
    <t>108_0_168</t>
  </si>
  <si>
    <t>117_0_168</t>
  </si>
  <si>
    <t>14_0_24.csv</t>
  </si>
  <si>
    <t>Ali_72h_220</t>
  </si>
  <si>
    <t>1815-lun1.csv</t>
  </si>
  <si>
    <t>2016021612-LUN1.csv</t>
    <phoneticPr fontId="1" type="noConversion"/>
  </si>
  <si>
    <t>2016021613-LUN0.csv</t>
  </si>
  <si>
    <t>2016021614-LUN0.csv</t>
  </si>
  <si>
    <t>2016021615-LUN3.csv</t>
  </si>
  <si>
    <t>2016021616-LUN1.csv</t>
  </si>
  <si>
    <t>2016021617-LUN6.csv</t>
  </si>
  <si>
    <t>2016021618-LUN0.csv</t>
  </si>
  <si>
    <t>2016021620-LUN2.csv</t>
  </si>
  <si>
    <t>2016021719-LUN3.csv</t>
  </si>
  <si>
    <t>2016021720-LUN4.csv</t>
  </si>
  <si>
    <t>Baseline</t>
    <phoneticPr fontId="3" type="noConversion"/>
  </si>
  <si>
    <t>PPC</t>
    <phoneticPr fontId="3" type="noConversion"/>
  </si>
  <si>
    <t>Patch</t>
    <phoneticPr fontId="3" type="noConversion"/>
  </si>
  <si>
    <t>BfP</t>
    <phoneticPr fontId="3" type="noConversion"/>
  </si>
  <si>
    <t>Ali_72h_220</t>
    <phoneticPr fontId="3" type="noConversion"/>
  </si>
  <si>
    <t>1612-LUN1</t>
  </si>
  <si>
    <t>1613-LUN0</t>
  </si>
  <si>
    <t>1614-LUN0</t>
  </si>
  <si>
    <t>1615-LUN3</t>
  </si>
  <si>
    <t>1616-LUN1</t>
  </si>
  <si>
    <t>1617-LUN6</t>
  </si>
  <si>
    <t>1618-LUN0</t>
  </si>
  <si>
    <t>1620-LUN2</t>
  </si>
  <si>
    <t>1719-LUN3</t>
  </si>
  <si>
    <t>1720-LUN4</t>
  </si>
  <si>
    <t>1815-lun1</t>
    <phoneticPr fontId="3" type="noConversion"/>
  </si>
  <si>
    <t>hm_0</t>
    <phoneticPr fontId="3" type="noConversion"/>
  </si>
  <si>
    <t>hm_1</t>
    <phoneticPr fontId="3" type="noConversion"/>
  </si>
  <si>
    <t>usr_0</t>
    <phoneticPr fontId="3" type="noConversion"/>
  </si>
  <si>
    <t>wdev_0</t>
    <phoneticPr fontId="3" type="noConversion"/>
  </si>
  <si>
    <t>web1_pre</t>
    <phoneticPr fontId="3" type="noConversion"/>
  </si>
  <si>
    <t>baseline</t>
    <phoneticPr fontId="3" type="noConversion"/>
  </si>
  <si>
    <t>read avg time</t>
    <phoneticPr fontId="3" type="noConversion"/>
  </si>
  <si>
    <t>write avg time</t>
  </si>
  <si>
    <t>IO time</t>
    <phoneticPr fontId="3" type="noConversion"/>
  </si>
  <si>
    <t>erase_count</t>
    <phoneticPr fontId="3" type="noConversion"/>
  </si>
  <si>
    <t>cache_hit_ratio</t>
    <phoneticPr fontId="3" type="noConversion"/>
  </si>
  <si>
    <t>cache_hit_ratio_full</t>
    <phoneticPr fontId="3" type="noConversion"/>
  </si>
  <si>
    <t>avg_R_for_W</t>
    <phoneticPr fontId="3" type="noConversion"/>
  </si>
  <si>
    <t>avg_R_for_sub_W</t>
    <phoneticPr fontId="3" type="noConversion"/>
  </si>
  <si>
    <t>ppc</t>
    <phoneticPr fontId="3" type="noConversion"/>
  </si>
  <si>
    <t>readbuffer_hit_ratio</t>
    <phoneticPr fontId="3" type="noConversion"/>
  </si>
  <si>
    <t>画图</t>
    <phoneticPr fontId="3" type="noConversion"/>
  </si>
  <si>
    <t>read_time</t>
    <phoneticPr fontId="3" type="noConversion"/>
  </si>
  <si>
    <t>write_time</t>
    <phoneticPr fontId="3" type="noConversion"/>
  </si>
  <si>
    <t>IO_time</t>
    <phoneticPr fontId="3" type="noConversion"/>
  </si>
  <si>
    <t>use_effiency</t>
    <phoneticPr fontId="3" type="noConversion"/>
  </si>
  <si>
    <t>lun_0</t>
    <phoneticPr fontId="3" type="noConversion"/>
  </si>
  <si>
    <t>lun_1</t>
    <phoneticPr fontId="3" type="noConversion"/>
  </si>
  <si>
    <t>lun_2</t>
    <phoneticPr fontId="3" type="noConversion"/>
  </si>
  <si>
    <t>相对于ppc</t>
    <phoneticPr fontId="3" type="noConversion"/>
  </si>
  <si>
    <t>相对于patch</t>
    <phoneticPr fontId="3" type="noConversion"/>
  </si>
  <si>
    <t>相较于ppc</t>
    <phoneticPr fontId="3" type="noConversion"/>
  </si>
  <si>
    <t>相较于patch</t>
    <phoneticPr fontId="3" type="noConversion"/>
  </si>
  <si>
    <t>Erase Count</t>
    <phoneticPr fontId="3" type="noConversion"/>
  </si>
  <si>
    <t>BfP_new</t>
    <phoneticPr fontId="3" type="noConversion"/>
  </si>
  <si>
    <t>baseline</t>
    <phoneticPr fontId="10" type="noConversion"/>
  </si>
  <si>
    <t>Read_for_avg_write</t>
    <phoneticPr fontId="10" type="noConversion"/>
  </si>
  <si>
    <t>avg_wait_read_sub_at_write_sub</t>
    <phoneticPr fontId="10" type="noConversion"/>
  </si>
  <si>
    <t>ppc</t>
    <phoneticPr fontId="10" type="noConversion"/>
  </si>
  <si>
    <t>patch</t>
    <phoneticPr fontId="10" type="noConversion"/>
  </si>
  <si>
    <t>BfP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</si>
</sst>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9.8000000000000007"/>
      <color rgb="FFBCBEC4"/>
      <name val="JetBrains Mono"/>
      <family val="3"/>
    </font>
    <font>
      <sz val="11"/>
      <color rgb="FFFF0000"/>
      <name val="宋体"/>
      <family val="3"/>
      <charset val="134"/>
      <scheme val="minor"/>
    </font>
    <font>
      <sz val="11"/>
      <color theme="7"/>
      <name val="宋体"/>
      <family val="3"/>
      <charset val="134"/>
      <scheme val="minor"/>
    </font>
    <font>
      <sz val="11"/>
      <name val="宋体"/>
      <family val="3"/>
      <charset val="134"/>
      <scheme val="minor"/>
    </font>
    <font>
      <sz val="11"/>
      <color theme="1"/>
      <name val="等线"/>
      <family val="3"/>
      <charset val="134"/>
    </font>
    <font>
      <b/>
      <sz val="11"/>
      <color theme="1"/>
      <name val="等线"/>
      <family val="3"/>
      <charset val="134"/>
    </font>
    <font>
      <sz val="9"/>
      <name val="宋体"/>
      <family val="3"/>
      <charset val="134"/>
      <scheme val="minor"/>
    </font>
    <font>
      <sz val="11"/>
      <color rgb="FF000000"/>
      <name val="等线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0" fillId="3" borderId="0" xfId="0" applyFill="1">
      <alignment vertical="center"/>
    </xf>
    <xf numFmtId="0" fontId="2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7" fillId="0" borderId="0" xfId="0" applyFont="1">
      <alignment vertical="center"/>
    </xf>
    <xf numFmtId="0" fontId="8" fillId="0" borderId="0" xfId="0" applyFont="1" applyAlignment="1"/>
    <xf numFmtId="0" fontId="9" fillId="0" borderId="0" xfId="0" applyFont="1" applyAlignment="1">
      <alignment horizontal="left" vertical="center"/>
    </xf>
    <xf numFmtId="0" fontId="8" fillId="0" borderId="0" xfId="0" applyFont="1">
      <alignment vertical="center"/>
    </xf>
    <xf numFmtId="0" fontId="8" fillId="2" borderId="0" xfId="0" applyFont="1" applyFill="1" applyAlignment="1"/>
    <xf numFmtId="0" fontId="8" fillId="3" borderId="0" xfId="0" applyFont="1" applyFill="1" applyAlignment="1"/>
    <xf numFmtId="0" fontId="2" fillId="3" borderId="0" xfId="0" applyFont="1" applyFill="1">
      <alignment vertical="center"/>
    </xf>
    <xf numFmtId="0" fontId="11" fillId="0" borderId="0" xfId="0" applyFont="1" applyAlignment="1"/>
    <xf numFmtId="0" fontId="0" fillId="0" borderId="0" xfId="0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4.xml"/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read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0.10811510294090836"/>
          <c:y val="0.23929270716722159"/>
          <c:w val="0.88679670376442932"/>
          <c:h val="0.59867310452293632"/>
        </c:manualLayout>
      </c:layout>
      <c:barChart>
        <c:barDir val="col"/>
        <c:grouping val="clustered"/>
        <c:varyColors val="0"/>
        <c:ser>
          <c:idx val="0"/>
          <c:order val="0"/>
          <c:tx>
            <c:v>Baseline</c:v>
          </c:tx>
          <c:spPr>
            <a:solidFill>
              <a:srgbClr val="33395B"/>
            </a:solidFill>
            <a:ln>
              <a:noFill/>
            </a:ln>
            <a:effectLst/>
          </c:spPr>
          <c:invertIfNegative val="0"/>
          <c:cat>
            <c:strRef>
              <c:f>'RAID3+1'!$K$47:$R$47</c:f>
              <c:strCache>
                <c:ptCount val="8"/>
                <c:pt idx="0">
                  <c:v>web1_pre</c:v>
                </c:pt>
                <c:pt idx="1">
                  <c:v>hm_1</c:v>
                </c:pt>
                <c:pt idx="2">
                  <c:v>lun_0</c:v>
                </c:pt>
                <c:pt idx="3">
                  <c:v>lun_1</c:v>
                </c:pt>
                <c:pt idx="4">
                  <c:v>lun_2</c:v>
                </c:pt>
                <c:pt idx="5">
                  <c:v>usr_0</c:v>
                </c:pt>
                <c:pt idx="6">
                  <c:v>hm_0</c:v>
                </c:pt>
                <c:pt idx="7">
                  <c:v>wdev_0</c:v>
                </c:pt>
              </c:strCache>
            </c:strRef>
          </c:cat>
          <c:val>
            <c:numRef>
              <c:f>'RAID3+1'!$K$48:$R$48</c:f>
              <c:numCache>
                <c:formatCode>General</c:formatCode>
                <c:ptCount val="8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730-48AD-A501-054B6987EC73}"/>
            </c:ext>
          </c:extLst>
        </c:ser>
        <c:ser>
          <c:idx val="1"/>
          <c:order val="1"/>
          <c:tx>
            <c:v>PPC</c:v>
          </c:tx>
          <c:spPr>
            <a:solidFill>
              <a:srgbClr val="5D74A2"/>
            </a:solidFill>
            <a:ln>
              <a:noFill/>
            </a:ln>
            <a:effectLst/>
          </c:spPr>
          <c:invertIfNegative val="0"/>
          <c:cat>
            <c:strRef>
              <c:f>'RAID3+1'!$K$47:$R$47</c:f>
              <c:strCache>
                <c:ptCount val="8"/>
                <c:pt idx="0">
                  <c:v>web1_pre</c:v>
                </c:pt>
                <c:pt idx="1">
                  <c:v>hm_1</c:v>
                </c:pt>
                <c:pt idx="2">
                  <c:v>lun_0</c:v>
                </c:pt>
                <c:pt idx="3">
                  <c:v>lun_1</c:v>
                </c:pt>
                <c:pt idx="4">
                  <c:v>lun_2</c:v>
                </c:pt>
                <c:pt idx="5">
                  <c:v>usr_0</c:v>
                </c:pt>
                <c:pt idx="6">
                  <c:v>hm_0</c:v>
                </c:pt>
                <c:pt idx="7">
                  <c:v>wdev_0</c:v>
                </c:pt>
              </c:strCache>
            </c:strRef>
          </c:cat>
          <c:val>
            <c:numRef>
              <c:f>'RAID3+1'!$K$49:$R$49</c:f>
              <c:numCache>
                <c:formatCode>General</c:formatCode>
                <c:ptCount val="8"/>
                <c:pt idx="0">
                  <c:v>0.99998944228891173</c:v>
                </c:pt>
                <c:pt idx="1">
                  <c:v>0.98870535332619636</c:v>
                </c:pt>
                <c:pt idx="2">
                  <c:v>1.001440293188449</c:v>
                </c:pt>
                <c:pt idx="3">
                  <c:v>1.0000149748422651</c:v>
                </c:pt>
                <c:pt idx="4">
                  <c:v>0.99826069274538209</c:v>
                </c:pt>
                <c:pt idx="5">
                  <c:v>1.0004305154936972</c:v>
                </c:pt>
                <c:pt idx="6">
                  <c:v>0.93696345656577196</c:v>
                </c:pt>
                <c:pt idx="7">
                  <c:v>0.99178338361961094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730-48AD-A501-054B6987EC73}"/>
            </c:ext>
          </c:extLst>
        </c:ser>
        <c:ser>
          <c:idx val="2"/>
          <c:order val="2"/>
          <c:tx>
            <c:v>Patch</c:v>
          </c:tx>
          <c:spPr>
            <a:solidFill>
              <a:srgbClr val="F2E8E3"/>
            </a:solidFill>
            <a:ln>
              <a:noFill/>
            </a:ln>
            <a:effectLst/>
          </c:spPr>
          <c:invertIfNegative val="0"/>
          <c:cat>
            <c:strRef>
              <c:f>'RAID3+1'!$K$47:$R$47</c:f>
              <c:strCache>
                <c:ptCount val="8"/>
                <c:pt idx="0">
                  <c:v>web1_pre</c:v>
                </c:pt>
                <c:pt idx="1">
                  <c:v>hm_1</c:v>
                </c:pt>
                <c:pt idx="2">
                  <c:v>lun_0</c:v>
                </c:pt>
                <c:pt idx="3">
                  <c:v>lun_1</c:v>
                </c:pt>
                <c:pt idx="4">
                  <c:v>lun_2</c:v>
                </c:pt>
                <c:pt idx="5">
                  <c:v>usr_0</c:v>
                </c:pt>
                <c:pt idx="6">
                  <c:v>hm_0</c:v>
                </c:pt>
                <c:pt idx="7">
                  <c:v>wdev_0</c:v>
                </c:pt>
              </c:strCache>
            </c:strRef>
          </c:cat>
          <c:val>
            <c:numRef>
              <c:f>'RAID3+1'!$K$50:$R$50</c:f>
              <c:numCache>
                <c:formatCode>General</c:formatCode>
                <c:ptCount val="8"/>
                <c:pt idx="0">
                  <c:v>0.99998944228891173</c:v>
                </c:pt>
                <c:pt idx="1">
                  <c:v>0.98870535332619636</c:v>
                </c:pt>
                <c:pt idx="2">
                  <c:v>1.0028756538659787</c:v>
                </c:pt>
                <c:pt idx="3">
                  <c:v>0.99931115725581021</c:v>
                </c:pt>
                <c:pt idx="4">
                  <c:v>1.0038272021844827</c:v>
                </c:pt>
                <c:pt idx="5">
                  <c:v>0.99590914136088404</c:v>
                </c:pt>
                <c:pt idx="6">
                  <c:v>0.93582653125722803</c:v>
                </c:pt>
                <c:pt idx="7">
                  <c:v>0.99112160690709439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730-48AD-A501-054B6987EC73}"/>
            </c:ext>
          </c:extLst>
        </c:ser>
        <c:ser>
          <c:idx val="3"/>
          <c:order val="3"/>
          <c:tx>
            <c:v>BfP</c:v>
          </c:tx>
          <c:spPr>
            <a:solidFill>
              <a:srgbClr val="8E2D30"/>
            </a:solidFill>
            <a:ln>
              <a:noFill/>
            </a:ln>
            <a:effectLst/>
          </c:spPr>
          <c:invertIfNegative val="0"/>
          <c:cat>
            <c:strRef>
              <c:f>'RAID3+1'!$K$47:$R$47</c:f>
              <c:strCache>
                <c:ptCount val="8"/>
                <c:pt idx="0">
                  <c:v>web1_pre</c:v>
                </c:pt>
                <c:pt idx="1">
                  <c:v>hm_1</c:v>
                </c:pt>
                <c:pt idx="2">
                  <c:v>lun_0</c:v>
                </c:pt>
                <c:pt idx="3">
                  <c:v>lun_1</c:v>
                </c:pt>
                <c:pt idx="4">
                  <c:v>lun_2</c:v>
                </c:pt>
                <c:pt idx="5">
                  <c:v>usr_0</c:v>
                </c:pt>
                <c:pt idx="6">
                  <c:v>hm_0</c:v>
                </c:pt>
                <c:pt idx="7">
                  <c:v>wdev_0</c:v>
                </c:pt>
              </c:strCache>
            </c:strRef>
          </c:cat>
          <c:val>
            <c:numRef>
              <c:f>'RAID3+1'!$K$51:$R$51</c:f>
              <c:numCache>
                <c:formatCode>General</c:formatCode>
                <c:ptCount val="8"/>
                <c:pt idx="0">
                  <c:v>0.21550399873307466</c:v>
                </c:pt>
                <c:pt idx="1">
                  <c:v>1.6566324174089968E-3</c:v>
                </c:pt>
                <c:pt idx="2">
                  <c:v>0.12981875488626862</c:v>
                </c:pt>
                <c:pt idx="3">
                  <c:v>0.11510662087692676</c:v>
                </c:pt>
                <c:pt idx="4">
                  <c:v>0.10111221255133498</c:v>
                </c:pt>
                <c:pt idx="5">
                  <c:v>0.70741494034048757</c:v>
                </c:pt>
                <c:pt idx="6">
                  <c:v>0.34538100684321194</c:v>
                </c:pt>
                <c:pt idx="7">
                  <c:v>0.28009832697267312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730-48AD-A501-054B6987EC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60"/>
        <c:axId val="653358952"/>
        <c:axId val="653359312"/>
      </c:barChart>
      <c:catAx>
        <c:axId val="6533589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45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+mn-cs"/>
              </a:defRPr>
            </a:pPr>
            <a:endParaRPr lang="zh-CN"/>
          </a:p>
        </c:txPr>
        <c:crossAx val="653359312"/>
        <c:crosses val="autoZero"/>
        <c:auto val="1"/>
        <c:lblAlgn val="ctr"/>
        <c:lblOffset val="100"/>
        <c:noMultiLvlLbl val="0"/>
      </c:catAx>
      <c:valAx>
        <c:axId val="653359312"/>
        <c:scaling>
          <c:orientation val="minMax"/>
          <c:max val="1"/>
        </c:scaling>
        <c:delete val="0"/>
        <c:axPos val="l"/>
        <c:majorGridlines>
          <c:spPr>
            <a:ln w="3175" cap="flat" cmpd="sng" algn="ctr">
              <a:solidFill>
                <a:srgbClr val="C7C7C7"/>
              </a:solidFill>
              <a:prstDash val="dash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45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+mn-cs"/>
                  </a:defRPr>
                </a:pPr>
                <a:r>
                  <a:rPr lang="zh-CN" altLang="en-US"/>
                  <a:t>标题</a:t>
                </a:r>
              </a:p>
            </c:rich>
          </c:tx>
          <c:layout>
            <c:manualLayout>
              <c:xMode val="edge"/>
              <c:yMode val="edge"/>
              <c:x val="8.3861032332605712E-3"/>
              <c:y val="0.2177998435999600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45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+mn-cs"/>
                </a:defRPr>
              </a:pPr>
              <a:endParaRPr lang="zh-CN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5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endParaRPr lang="zh-CN"/>
          </a:p>
        </c:txPr>
        <c:crossAx val="653358952"/>
        <c:crosses val="autoZero"/>
        <c:crossBetween val="between"/>
        <c:majorUnit val="0.2"/>
      </c:valAx>
      <c:spPr>
        <a:solidFill>
          <a:schemeClr val="bg1"/>
        </a:solidFill>
        <a:ln w="9525">
          <a:solidFill>
            <a:schemeClr val="tx1"/>
          </a:solidFill>
        </a:ln>
        <a:effectLst/>
      </c:spPr>
    </c:plotArea>
    <c:legend>
      <c:legendPos val="t"/>
      <c:legendEntry>
        <c:idx val="3"/>
        <c:txPr>
          <a:bodyPr rot="0" spcFirstLastPara="1" vertOverflow="ellipsis" vert="horz" wrap="square" anchor="ctr" anchorCtr="1"/>
          <a:lstStyle/>
          <a:p>
            <a:pPr>
              <a:defRPr sz="5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+mn-cs"/>
              </a:defRPr>
            </a:pPr>
            <a:endParaRPr lang="zh-CN"/>
          </a:p>
        </c:txPr>
      </c:legendEntry>
      <c:layout>
        <c:manualLayout>
          <c:xMode val="edge"/>
          <c:yMode val="edge"/>
          <c:x val="0.58262865349747872"/>
          <c:y val="0.16166566663473286"/>
          <c:w val="0.40616944444444447"/>
          <c:h val="7.2675154320987645E-2"/>
        </c:manualLayout>
      </c:layout>
      <c:overlay val="0"/>
      <c:spPr>
        <a:noFill/>
        <a:ln w="9525" cmpd="sng">
          <a:solidFill>
            <a:schemeClr val="tx1"/>
          </a:solidFill>
          <a:round/>
        </a:ln>
        <a:effectLst/>
      </c:spPr>
      <c:txPr>
        <a:bodyPr rot="0" spcFirstLastPara="1" vertOverflow="ellipsis" vert="horz" wrap="square" anchor="ctr" anchorCtr="1"/>
        <a:lstStyle/>
        <a:p>
          <a:pPr>
            <a:defRPr sz="500" b="1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15875" cap="rnd" cmpd="sng" algn="ctr">
      <a:noFill/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 paperSize="9"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write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 alt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811510294090836"/>
          <c:y val="0.23929270716722159"/>
          <c:w val="0.88679670376442932"/>
          <c:h val="0.59867310452293632"/>
        </c:manualLayout>
      </c:layout>
      <c:barChart>
        <c:barDir val="col"/>
        <c:grouping val="clustered"/>
        <c:varyColors val="0"/>
        <c:ser>
          <c:idx val="0"/>
          <c:order val="0"/>
          <c:tx>
            <c:v>Baseline</c:v>
          </c:tx>
          <c:spPr>
            <a:solidFill>
              <a:srgbClr val="33395B"/>
            </a:solidFill>
            <a:ln>
              <a:noFill/>
            </a:ln>
            <a:effectLst/>
          </c:spPr>
          <c:invertIfNegative val="0"/>
          <c:cat>
            <c:strRef>
              <c:f>'RAID3+1'!$K$60:$R$60</c:f>
              <c:strCache>
                <c:ptCount val="8"/>
                <c:pt idx="0">
                  <c:v>web1_pre</c:v>
                </c:pt>
                <c:pt idx="1">
                  <c:v>hm_1</c:v>
                </c:pt>
                <c:pt idx="2">
                  <c:v>lun_0</c:v>
                </c:pt>
                <c:pt idx="3">
                  <c:v>lun_1</c:v>
                </c:pt>
                <c:pt idx="4">
                  <c:v>lun_2</c:v>
                </c:pt>
                <c:pt idx="5">
                  <c:v>usr_0</c:v>
                </c:pt>
                <c:pt idx="6">
                  <c:v>hm_0</c:v>
                </c:pt>
                <c:pt idx="7">
                  <c:v>wdev_0</c:v>
                </c:pt>
              </c:strCache>
            </c:strRef>
          </c:cat>
          <c:val>
            <c:numRef>
              <c:f>'RAID3+1'!$K$61:$R$61</c:f>
              <c:numCache>
                <c:formatCode>General</c:formatCode>
                <c:ptCount val="8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730-48AD-A501-054B6987EC73}"/>
            </c:ext>
          </c:extLst>
        </c:ser>
        <c:ser>
          <c:idx val="1"/>
          <c:order val="1"/>
          <c:tx>
            <c:v>PPC</c:v>
          </c:tx>
          <c:spPr>
            <a:solidFill>
              <a:srgbClr val="5D74A2"/>
            </a:solidFill>
            <a:ln>
              <a:noFill/>
            </a:ln>
            <a:effectLst/>
          </c:spPr>
          <c:invertIfNegative val="0"/>
          <c:cat>
            <c:strRef>
              <c:f>'RAID3+1'!$K$60:$R$60</c:f>
              <c:strCache>
                <c:ptCount val="8"/>
                <c:pt idx="0">
                  <c:v>web1_pre</c:v>
                </c:pt>
                <c:pt idx="1">
                  <c:v>hm_1</c:v>
                </c:pt>
                <c:pt idx="2">
                  <c:v>lun_0</c:v>
                </c:pt>
                <c:pt idx="3">
                  <c:v>lun_1</c:v>
                </c:pt>
                <c:pt idx="4">
                  <c:v>lun_2</c:v>
                </c:pt>
                <c:pt idx="5">
                  <c:v>usr_0</c:v>
                </c:pt>
                <c:pt idx="6">
                  <c:v>hm_0</c:v>
                </c:pt>
                <c:pt idx="7">
                  <c:v>wdev_0</c:v>
                </c:pt>
              </c:strCache>
            </c:strRef>
          </c:cat>
          <c:val>
            <c:numRef>
              <c:f>'RAID3+1'!$K$62:$R$62</c:f>
              <c:numCache>
                <c:formatCode>General</c:formatCode>
                <c:ptCount val="8"/>
                <c:pt idx="0">
                  <c:v>1</c:v>
                </c:pt>
                <c:pt idx="1">
                  <c:v>0.98141422764961372</c:v>
                </c:pt>
                <c:pt idx="2">
                  <c:v>0.99778085185880583</c:v>
                </c:pt>
                <c:pt idx="3">
                  <c:v>0.99440588928573648</c:v>
                </c:pt>
                <c:pt idx="4">
                  <c:v>0.94428615297687046</c:v>
                </c:pt>
                <c:pt idx="5">
                  <c:v>0.95424488858201917</c:v>
                </c:pt>
                <c:pt idx="6">
                  <c:v>0.94908705908724922</c:v>
                </c:pt>
                <c:pt idx="7">
                  <c:v>0.977662864136017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730-48AD-A501-054B6987EC73}"/>
            </c:ext>
          </c:extLst>
        </c:ser>
        <c:ser>
          <c:idx val="2"/>
          <c:order val="2"/>
          <c:tx>
            <c:v>Patch</c:v>
          </c:tx>
          <c:spPr>
            <a:solidFill>
              <a:srgbClr val="F2E8E3"/>
            </a:solidFill>
            <a:ln>
              <a:noFill/>
            </a:ln>
            <a:effectLst/>
          </c:spPr>
          <c:invertIfNegative val="0"/>
          <c:cat>
            <c:strRef>
              <c:f>'RAID3+1'!$K$60:$R$60</c:f>
              <c:strCache>
                <c:ptCount val="8"/>
                <c:pt idx="0">
                  <c:v>web1_pre</c:v>
                </c:pt>
                <c:pt idx="1">
                  <c:v>hm_1</c:v>
                </c:pt>
                <c:pt idx="2">
                  <c:v>lun_0</c:v>
                </c:pt>
                <c:pt idx="3">
                  <c:v>lun_1</c:v>
                </c:pt>
                <c:pt idx="4">
                  <c:v>lun_2</c:v>
                </c:pt>
                <c:pt idx="5">
                  <c:v>usr_0</c:v>
                </c:pt>
                <c:pt idx="6">
                  <c:v>hm_0</c:v>
                </c:pt>
                <c:pt idx="7">
                  <c:v>wdev_0</c:v>
                </c:pt>
              </c:strCache>
            </c:strRef>
          </c:cat>
          <c:val>
            <c:numRef>
              <c:f>'RAID3+1'!$K$63:$R$63</c:f>
              <c:numCache>
                <c:formatCode>General</c:formatCode>
                <c:ptCount val="8"/>
                <c:pt idx="0">
                  <c:v>1</c:v>
                </c:pt>
                <c:pt idx="1">
                  <c:v>0.98141422764961372</c:v>
                </c:pt>
                <c:pt idx="2">
                  <c:v>0.99710048499598491</c:v>
                </c:pt>
                <c:pt idx="3">
                  <c:v>0.99244898549843252</c:v>
                </c:pt>
                <c:pt idx="4">
                  <c:v>0.94350873960521309</c:v>
                </c:pt>
                <c:pt idx="5">
                  <c:v>0.9516019461246108</c:v>
                </c:pt>
                <c:pt idx="6">
                  <c:v>0.94720285459977316</c:v>
                </c:pt>
                <c:pt idx="7">
                  <c:v>0.97648580364275639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730-48AD-A501-054B6987EC73}"/>
            </c:ext>
          </c:extLst>
        </c:ser>
        <c:ser>
          <c:idx val="3"/>
          <c:order val="3"/>
          <c:tx>
            <c:v>BfP</c:v>
          </c:tx>
          <c:spPr>
            <a:solidFill>
              <a:srgbClr val="8E2D30"/>
            </a:solidFill>
            <a:ln>
              <a:noFill/>
            </a:ln>
            <a:effectLst/>
          </c:spPr>
          <c:invertIfNegative val="0"/>
          <c:cat>
            <c:strRef>
              <c:f>'RAID3+1'!$K$60:$R$60</c:f>
              <c:strCache>
                <c:ptCount val="8"/>
                <c:pt idx="0">
                  <c:v>web1_pre</c:v>
                </c:pt>
                <c:pt idx="1">
                  <c:v>hm_1</c:v>
                </c:pt>
                <c:pt idx="2">
                  <c:v>lun_0</c:v>
                </c:pt>
                <c:pt idx="3">
                  <c:v>lun_1</c:v>
                </c:pt>
                <c:pt idx="4">
                  <c:v>lun_2</c:v>
                </c:pt>
                <c:pt idx="5">
                  <c:v>usr_0</c:v>
                </c:pt>
                <c:pt idx="6">
                  <c:v>hm_0</c:v>
                </c:pt>
                <c:pt idx="7">
                  <c:v>wdev_0</c:v>
                </c:pt>
              </c:strCache>
            </c:strRef>
          </c:cat>
          <c:val>
            <c:numRef>
              <c:f>'RAID3+1'!$K$64:$R$64</c:f>
              <c:numCache>
                <c:formatCode>General</c:formatCode>
                <c:ptCount val="8"/>
                <c:pt idx="0">
                  <c:v>0.81408413600369178</c:v>
                </c:pt>
                <c:pt idx="1">
                  <c:v>0.9420006151776954</c:v>
                </c:pt>
                <c:pt idx="2">
                  <c:v>0.90893120632602464</c:v>
                </c:pt>
                <c:pt idx="3">
                  <c:v>0.98159927929961055</c:v>
                </c:pt>
                <c:pt idx="4">
                  <c:v>0.96869452530984756</c:v>
                </c:pt>
                <c:pt idx="5">
                  <c:v>0.96929999542989265</c:v>
                </c:pt>
                <c:pt idx="6">
                  <c:v>0.82916160838131536</c:v>
                </c:pt>
                <c:pt idx="7">
                  <c:v>0.94206330994995524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730-48AD-A501-054B6987EC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60"/>
        <c:axId val="653358952"/>
        <c:axId val="653359312"/>
      </c:barChart>
      <c:catAx>
        <c:axId val="6533589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45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+mn-cs"/>
              </a:defRPr>
            </a:pPr>
            <a:endParaRPr lang="zh-CN"/>
          </a:p>
        </c:txPr>
        <c:crossAx val="653359312"/>
        <c:crosses val="autoZero"/>
        <c:auto val="1"/>
        <c:lblAlgn val="ctr"/>
        <c:lblOffset val="100"/>
        <c:noMultiLvlLbl val="0"/>
      </c:catAx>
      <c:valAx>
        <c:axId val="653359312"/>
        <c:scaling>
          <c:orientation val="minMax"/>
          <c:max val="1"/>
        </c:scaling>
        <c:delete val="0"/>
        <c:axPos val="l"/>
        <c:majorGridlines>
          <c:spPr>
            <a:ln w="3175" cap="flat" cmpd="sng" algn="ctr">
              <a:solidFill>
                <a:srgbClr val="C7C7C7"/>
              </a:solidFill>
              <a:prstDash val="dash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45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+mn-cs"/>
                  </a:defRPr>
                </a:pPr>
                <a:r>
                  <a:rPr lang="zh-CN" altLang="en-US"/>
                  <a:t>标题</a:t>
                </a:r>
              </a:p>
            </c:rich>
          </c:tx>
          <c:layout>
            <c:manualLayout>
              <c:xMode val="edge"/>
              <c:yMode val="edge"/>
              <c:x val="8.3861032332605712E-3"/>
              <c:y val="0.2177998435999600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45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+mn-cs"/>
                </a:defRPr>
              </a:pPr>
              <a:endParaRPr lang="zh-CN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5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endParaRPr lang="zh-CN"/>
          </a:p>
        </c:txPr>
        <c:crossAx val="653358952"/>
        <c:crosses val="autoZero"/>
        <c:crossBetween val="between"/>
        <c:majorUnit val="0.2"/>
      </c:valAx>
      <c:spPr>
        <a:solidFill>
          <a:schemeClr val="bg1"/>
        </a:solidFill>
        <a:ln w="9525">
          <a:solidFill>
            <a:schemeClr val="tx1"/>
          </a:solidFill>
        </a:ln>
        <a:effectLst/>
      </c:spPr>
    </c:plotArea>
    <c:legend>
      <c:legendPos val="t"/>
      <c:legendEntry>
        <c:idx val="3"/>
        <c:txPr>
          <a:bodyPr rot="0" spcFirstLastPara="1" vertOverflow="ellipsis" vert="horz" wrap="square" anchor="ctr" anchorCtr="1"/>
          <a:lstStyle/>
          <a:p>
            <a:pPr>
              <a:defRPr sz="5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+mn-cs"/>
              </a:defRPr>
            </a:pPr>
            <a:endParaRPr lang="zh-CN"/>
          </a:p>
        </c:txPr>
      </c:legendEntry>
      <c:layout>
        <c:manualLayout>
          <c:xMode val="edge"/>
          <c:yMode val="edge"/>
          <c:x val="0.58262865349747872"/>
          <c:y val="0.16166566663473286"/>
          <c:w val="0.40616944444444447"/>
          <c:h val="7.2675154320987645E-2"/>
        </c:manualLayout>
      </c:layout>
      <c:overlay val="0"/>
      <c:spPr>
        <a:noFill/>
        <a:ln w="9525" cmpd="sng">
          <a:solidFill>
            <a:schemeClr val="tx1"/>
          </a:solidFill>
          <a:round/>
        </a:ln>
        <a:effectLst/>
      </c:spPr>
      <c:txPr>
        <a:bodyPr rot="0" spcFirstLastPara="1" vertOverflow="ellipsis" vert="horz" wrap="square" anchor="ctr" anchorCtr="1"/>
        <a:lstStyle/>
        <a:p>
          <a:pPr>
            <a:defRPr sz="500" b="1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15875" cap="rnd" cmpd="sng" algn="ctr">
      <a:noFill/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 paperSize="9" orientation="landscape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0811510294090836"/>
          <c:y val="0.23929270716722159"/>
          <c:w val="0.88679670376442932"/>
          <c:h val="0.59867310452293632"/>
        </c:manualLayout>
      </c:layout>
      <c:barChart>
        <c:barDir val="col"/>
        <c:grouping val="clustered"/>
        <c:varyColors val="0"/>
        <c:ser>
          <c:idx val="0"/>
          <c:order val="0"/>
          <c:tx>
            <c:v>Baseline</c:v>
          </c:tx>
          <c:spPr>
            <a:solidFill>
              <a:srgbClr val="33395B"/>
            </a:solidFill>
            <a:ln>
              <a:noFill/>
            </a:ln>
            <a:effectLst/>
          </c:spPr>
          <c:invertIfNegative val="0"/>
          <c:cat>
            <c:strRef>
              <c:f>'RAID3+1'!$K$73:$R$73</c:f>
              <c:strCache>
                <c:ptCount val="8"/>
                <c:pt idx="0">
                  <c:v>web1_pre</c:v>
                </c:pt>
                <c:pt idx="1">
                  <c:v>hm_1</c:v>
                </c:pt>
                <c:pt idx="2">
                  <c:v>lun_0</c:v>
                </c:pt>
                <c:pt idx="3">
                  <c:v>lun_1</c:v>
                </c:pt>
                <c:pt idx="4">
                  <c:v>lun_2</c:v>
                </c:pt>
                <c:pt idx="5">
                  <c:v>usr_0</c:v>
                </c:pt>
                <c:pt idx="6">
                  <c:v>hm_0</c:v>
                </c:pt>
                <c:pt idx="7">
                  <c:v>wdev_0</c:v>
                </c:pt>
              </c:strCache>
            </c:strRef>
          </c:cat>
          <c:val>
            <c:numRef>
              <c:f>'RAID3+1'!$K$74:$R$74</c:f>
              <c:numCache>
                <c:formatCode>General</c:formatCode>
                <c:ptCount val="8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730-48AD-A501-054B6987EC73}"/>
            </c:ext>
          </c:extLst>
        </c:ser>
        <c:ser>
          <c:idx val="1"/>
          <c:order val="1"/>
          <c:tx>
            <c:v>PPC</c:v>
          </c:tx>
          <c:spPr>
            <a:solidFill>
              <a:srgbClr val="5D74A2"/>
            </a:solidFill>
            <a:ln>
              <a:noFill/>
            </a:ln>
            <a:effectLst/>
          </c:spPr>
          <c:invertIfNegative val="0"/>
          <c:cat>
            <c:strRef>
              <c:f>'RAID3+1'!$K$73:$R$73</c:f>
              <c:strCache>
                <c:ptCount val="8"/>
                <c:pt idx="0">
                  <c:v>web1_pre</c:v>
                </c:pt>
                <c:pt idx="1">
                  <c:v>hm_1</c:v>
                </c:pt>
                <c:pt idx="2">
                  <c:v>lun_0</c:v>
                </c:pt>
                <c:pt idx="3">
                  <c:v>lun_1</c:v>
                </c:pt>
                <c:pt idx="4">
                  <c:v>lun_2</c:v>
                </c:pt>
                <c:pt idx="5">
                  <c:v>usr_0</c:v>
                </c:pt>
                <c:pt idx="6">
                  <c:v>hm_0</c:v>
                </c:pt>
                <c:pt idx="7">
                  <c:v>wdev_0</c:v>
                </c:pt>
              </c:strCache>
            </c:strRef>
          </c:cat>
          <c:val>
            <c:numRef>
              <c:f>'RAID3+1'!$K$75:$R$75</c:f>
              <c:numCache>
                <c:formatCode>General</c:formatCode>
                <c:ptCount val="8"/>
                <c:pt idx="0">
                  <c:v>0.99999092622723562</c:v>
                </c:pt>
                <c:pt idx="1">
                  <c:v>0.98822248102814936</c:v>
                </c:pt>
                <c:pt idx="2">
                  <c:v>0.99790323894602506</c:v>
                </c:pt>
                <c:pt idx="3">
                  <c:v>0.9948339644499512</c:v>
                </c:pt>
                <c:pt idx="4">
                  <c:v>0.94949941684755845</c:v>
                </c:pt>
                <c:pt idx="5">
                  <c:v>0.98483115005678479</c:v>
                </c:pt>
                <c:pt idx="6">
                  <c:v>0.94360238073865887</c:v>
                </c:pt>
                <c:pt idx="7">
                  <c:v>0.98148897601236329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730-48AD-A501-054B6987EC73}"/>
            </c:ext>
          </c:extLst>
        </c:ser>
        <c:ser>
          <c:idx val="2"/>
          <c:order val="2"/>
          <c:tx>
            <c:v>Patch</c:v>
          </c:tx>
          <c:spPr>
            <a:solidFill>
              <a:srgbClr val="F2E8E3"/>
            </a:solidFill>
            <a:ln>
              <a:noFill/>
            </a:ln>
            <a:effectLst/>
          </c:spPr>
          <c:invertIfNegative val="0"/>
          <c:cat>
            <c:strRef>
              <c:f>'RAID3+1'!$K$73:$R$73</c:f>
              <c:strCache>
                <c:ptCount val="8"/>
                <c:pt idx="0">
                  <c:v>web1_pre</c:v>
                </c:pt>
                <c:pt idx="1">
                  <c:v>hm_1</c:v>
                </c:pt>
                <c:pt idx="2">
                  <c:v>lun_0</c:v>
                </c:pt>
                <c:pt idx="3">
                  <c:v>lun_1</c:v>
                </c:pt>
                <c:pt idx="4">
                  <c:v>lun_2</c:v>
                </c:pt>
                <c:pt idx="5">
                  <c:v>usr_0</c:v>
                </c:pt>
                <c:pt idx="6">
                  <c:v>hm_0</c:v>
                </c:pt>
                <c:pt idx="7">
                  <c:v>wdev_0</c:v>
                </c:pt>
              </c:strCache>
            </c:strRef>
          </c:cat>
          <c:val>
            <c:numRef>
              <c:f>'RAID3+1'!$K$76:$R$76</c:f>
              <c:numCache>
                <c:formatCode>General</c:formatCode>
                <c:ptCount val="8"/>
                <c:pt idx="0">
                  <c:v>0.99999092622723562</c:v>
                </c:pt>
                <c:pt idx="1">
                  <c:v>0.98822248102814936</c:v>
                </c:pt>
                <c:pt idx="2">
                  <c:v>0.99729361145976925</c:v>
                </c:pt>
                <c:pt idx="3">
                  <c:v>0.99297252950690573</c:v>
                </c:pt>
                <c:pt idx="4">
                  <c:v>0.94933481869200287</c:v>
                </c:pt>
                <c:pt idx="5">
                  <c:v>0.98094422483603561</c:v>
                </c:pt>
                <c:pt idx="6">
                  <c:v>0.94205624588144388</c:v>
                </c:pt>
                <c:pt idx="7">
                  <c:v>0.98045166716098298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730-48AD-A501-054B6987EC73}"/>
            </c:ext>
          </c:extLst>
        </c:ser>
        <c:ser>
          <c:idx val="3"/>
          <c:order val="3"/>
          <c:tx>
            <c:v>BfP</c:v>
          </c:tx>
          <c:spPr>
            <a:solidFill>
              <a:srgbClr val="8E2D30"/>
            </a:solidFill>
            <a:ln>
              <a:noFill/>
            </a:ln>
            <a:effectLst/>
          </c:spPr>
          <c:invertIfNegative val="0"/>
          <c:cat>
            <c:strRef>
              <c:f>'RAID3+1'!$K$73:$R$73</c:f>
              <c:strCache>
                <c:ptCount val="8"/>
                <c:pt idx="0">
                  <c:v>web1_pre</c:v>
                </c:pt>
                <c:pt idx="1">
                  <c:v>hm_1</c:v>
                </c:pt>
                <c:pt idx="2">
                  <c:v>lun_0</c:v>
                </c:pt>
                <c:pt idx="3">
                  <c:v>lun_1</c:v>
                </c:pt>
                <c:pt idx="4">
                  <c:v>lun_2</c:v>
                </c:pt>
                <c:pt idx="5">
                  <c:v>usr_0</c:v>
                </c:pt>
                <c:pt idx="6">
                  <c:v>hm_0</c:v>
                </c:pt>
                <c:pt idx="7">
                  <c:v>wdev_0</c:v>
                </c:pt>
              </c:strCache>
            </c:strRef>
          </c:cat>
          <c:val>
            <c:numRef>
              <c:f>'RAID3+1'!$K$77:$R$77</c:f>
              <c:numCache>
                <c:formatCode>General</c:formatCode>
                <c:ptCount val="8"/>
                <c:pt idx="0">
                  <c:v>0.21619492334216531</c:v>
                </c:pt>
                <c:pt idx="1">
                  <c:v>6.3729254219503928E-2</c:v>
                </c:pt>
                <c:pt idx="2">
                  <c:v>0.88287941618233179</c:v>
                </c:pt>
                <c:pt idx="3">
                  <c:v>0.91554139267687229</c:v>
                </c:pt>
                <c:pt idx="4">
                  <c:v>0.88489783372944764</c:v>
                </c:pt>
                <c:pt idx="5">
                  <c:v>0.79586763244456116</c:v>
                </c:pt>
                <c:pt idx="6">
                  <c:v>0.61030119112490877</c:v>
                </c:pt>
                <c:pt idx="7">
                  <c:v>0.76269468986858868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730-48AD-A501-054B6987EC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60"/>
        <c:axId val="653358952"/>
        <c:axId val="653359312"/>
      </c:barChart>
      <c:catAx>
        <c:axId val="6533589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45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+mn-cs"/>
              </a:defRPr>
            </a:pPr>
            <a:endParaRPr lang="zh-CN"/>
          </a:p>
        </c:txPr>
        <c:crossAx val="653359312"/>
        <c:crosses val="autoZero"/>
        <c:auto val="1"/>
        <c:lblAlgn val="ctr"/>
        <c:lblOffset val="100"/>
        <c:noMultiLvlLbl val="0"/>
      </c:catAx>
      <c:valAx>
        <c:axId val="653359312"/>
        <c:scaling>
          <c:orientation val="minMax"/>
          <c:max val="1"/>
        </c:scaling>
        <c:delete val="0"/>
        <c:axPos val="l"/>
        <c:majorGridlines>
          <c:spPr>
            <a:ln w="3175" cap="flat" cmpd="sng" algn="ctr">
              <a:solidFill>
                <a:srgbClr val="C7C7C7"/>
              </a:solidFill>
              <a:prstDash val="dash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45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+mn-cs"/>
                  </a:defRPr>
                </a:pPr>
                <a:r>
                  <a:rPr lang="zh-CN" altLang="en-US"/>
                  <a:t>标题</a:t>
                </a:r>
              </a:p>
            </c:rich>
          </c:tx>
          <c:layout>
            <c:manualLayout>
              <c:xMode val="edge"/>
              <c:yMode val="edge"/>
              <c:x val="8.3861032332605712E-3"/>
              <c:y val="0.2177998435999600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45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+mn-cs"/>
                </a:defRPr>
              </a:pPr>
              <a:endParaRPr lang="zh-CN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5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endParaRPr lang="zh-CN"/>
          </a:p>
        </c:txPr>
        <c:crossAx val="653358952"/>
        <c:crosses val="autoZero"/>
        <c:crossBetween val="between"/>
        <c:majorUnit val="0.2"/>
      </c:valAx>
      <c:spPr>
        <a:solidFill>
          <a:schemeClr val="bg1"/>
        </a:solidFill>
        <a:ln w="9525">
          <a:solidFill>
            <a:schemeClr val="tx1"/>
          </a:solidFill>
        </a:ln>
        <a:effectLst/>
      </c:spPr>
    </c:plotArea>
    <c:legend>
      <c:legendPos val="t"/>
      <c:legendEntry>
        <c:idx val="3"/>
        <c:txPr>
          <a:bodyPr rot="0" spcFirstLastPara="1" vertOverflow="ellipsis" vert="horz" wrap="square" anchor="ctr" anchorCtr="1"/>
          <a:lstStyle/>
          <a:p>
            <a:pPr>
              <a:defRPr sz="5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+mn-cs"/>
              </a:defRPr>
            </a:pPr>
            <a:endParaRPr lang="zh-CN"/>
          </a:p>
        </c:txPr>
      </c:legendEntry>
      <c:layout>
        <c:manualLayout>
          <c:xMode val="edge"/>
          <c:yMode val="edge"/>
          <c:x val="0.58262865349747872"/>
          <c:y val="0.16166566663473286"/>
          <c:w val="0.40616944444444447"/>
          <c:h val="7.2675154320987645E-2"/>
        </c:manualLayout>
      </c:layout>
      <c:overlay val="0"/>
      <c:spPr>
        <a:noFill/>
        <a:ln w="9525" cmpd="sng">
          <a:solidFill>
            <a:schemeClr val="tx1"/>
          </a:solidFill>
          <a:round/>
        </a:ln>
        <a:effectLst/>
      </c:spPr>
      <c:txPr>
        <a:bodyPr rot="0" spcFirstLastPara="1" vertOverflow="ellipsis" vert="horz" wrap="square" anchor="ctr" anchorCtr="1"/>
        <a:lstStyle/>
        <a:p>
          <a:pPr>
            <a:defRPr sz="500" b="1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15875" cap="rnd" cmpd="sng" algn="ctr">
      <a:noFill/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 paperSize="9" orientation="landscape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readbuffer</a:t>
            </a:r>
            <a:r>
              <a:rPr lang="en-US" altLang="zh-CN" baseline="0"/>
              <a:t> hit rate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 alt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'RAID3+1'!$K$94:$R$94</c:f>
              <c:strCache>
                <c:ptCount val="8"/>
                <c:pt idx="0">
                  <c:v>web1_pre</c:v>
                </c:pt>
                <c:pt idx="1">
                  <c:v>hm_1</c:v>
                </c:pt>
                <c:pt idx="2">
                  <c:v>lun_0</c:v>
                </c:pt>
                <c:pt idx="3">
                  <c:v>lun_1</c:v>
                </c:pt>
                <c:pt idx="4">
                  <c:v>lun_2</c:v>
                </c:pt>
                <c:pt idx="5">
                  <c:v>usr_0</c:v>
                </c:pt>
                <c:pt idx="6">
                  <c:v>hm_0</c:v>
                </c:pt>
                <c:pt idx="7">
                  <c:v>wdev_0</c:v>
                </c:pt>
              </c:strCache>
            </c:strRef>
          </c:cat>
          <c:val>
            <c:numRef>
              <c:f>'RAID3+1'!$K$95:$R$95</c:f>
              <c:numCache>
                <c:formatCode>General</c:formatCode>
                <c:ptCount val="8"/>
                <c:pt idx="0">
                  <c:v>0.73618799999999995</c:v>
                </c:pt>
                <c:pt idx="1">
                  <c:v>0.92830900000000005</c:v>
                </c:pt>
                <c:pt idx="2">
                  <c:v>0.71908799999999995</c:v>
                </c:pt>
                <c:pt idx="3">
                  <c:v>0.79852599999999996</c:v>
                </c:pt>
                <c:pt idx="4">
                  <c:v>0.77739000000000003</c:v>
                </c:pt>
                <c:pt idx="5">
                  <c:v>0.17274</c:v>
                </c:pt>
                <c:pt idx="6">
                  <c:v>0.18632399999999999</c:v>
                </c:pt>
                <c:pt idx="7">
                  <c:v>0.453042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2D5-4933-B39F-02788843FF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81771888"/>
        <c:axId val="381774408"/>
      </c:barChart>
      <c:catAx>
        <c:axId val="381771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81774408"/>
        <c:crosses val="autoZero"/>
        <c:auto val="1"/>
        <c:lblAlgn val="ctr"/>
        <c:lblOffset val="100"/>
        <c:noMultiLvlLbl val="0"/>
      </c:catAx>
      <c:valAx>
        <c:axId val="381774408"/>
        <c:scaling>
          <c:orientation val="minMax"/>
        </c:scaling>
        <c:delete val="0"/>
        <c:axPos val="l"/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81771888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parity</a:t>
            </a:r>
            <a:r>
              <a:rPr lang="en-US" altLang="zh-CN" baseline="0"/>
              <a:t> hit ratio 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 alt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Baseline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'RAID3+1'!$K$87:$R$87</c:f>
              <c:strCache>
                <c:ptCount val="8"/>
                <c:pt idx="0">
                  <c:v>web1_pre</c:v>
                </c:pt>
                <c:pt idx="1">
                  <c:v>hm_1</c:v>
                </c:pt>
                <c:pt idx="2">
                  <c:v>lun_0</c:v>
                </c:pt>
                <c:pt idx="3">
                  <c:v>lun_1</c:v>
                </c:pt>
                <c:pt idx="4">
                  <c:v>lun_2</c:v>
                </c:pt>
                <c:pt idx="5">
                  <c:v>usr_0</c:v>
                </c:pt>
                <c:pt idx="6">
                  <c:v>hm_0</c:v>
                </c:pt>
                <c:pt idx="7">
                  <c:v>wdev_0</c:v>
                </c:pt>
              </c:strCache>
            </c:strRef>
          </c:cat>
          <c:val>
            <c:numRef>
              <c:f>'RAID3+1'!$K$88:$R$88</c:f>
              <c:numCache>
                <c:formatCode>General</c:formatCode>
                <c:ptCount val="8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D64-4E5E-ABD6-C430A885DA69}"/>
            </c:ext>
          </c:extLst>
        </c:ser>
        <c:ser>
          <c:idx val="1"/>
          <c:order val="1"/>
          <c:tx>
            <c:v>PPC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'RAID3+1'!$K$87:$R$87</c:f>
              <c:strCache>
                <c:ptCount val="8"/>
                <c:pt idx="0">
                  <c:v>web1_pre</c:v>
                </c:pt>
                <c:pt idx="1">
                  <c:v>hm_1</c:v>
                </c:pt>
                <c:pt idx="2">
                  <c:v>lun_0</c:v>
                </c:pt>
                <c:pt idx="3">
                  <c:v>lun_1</c:v>
                </c:pt>
                <c:pt idx="4">
                  <c:v>lun_2</c:v>
                </c:pt>
                <c:pt idx="5">
                  <c:v>usr_0</c:v>
                </c:pt>
                <c:pt idx="6">
                  <c:v>hm_0</c:v>
                </c:pt>
                <c:pt idx="7">
                  <c:v>wdev_0</c:v>
                </c:pt>
              </c:strCache>
            </c:strRef>
          </c:cat>
          <c:val>
            <c:numRef>
              <c:f>'RAID3+1'!$K$89:$R$89</c:f>
              <c:numCache>
                <c:formatCode>General</c:formatCode>
                <c:ptCount val="8"/>
                <c:pt idx="0">
                  <c:v>1</c:v>
                </c:pt>
                <c:pt idx="1">
                  <c:v>1</c:v>
                </c:pt>
                <c:pt idx="2">
                  <c:v>1.0000041698809499</c:v>
                </c:pt>
                <c:pt idx="3">
                  <c:v>1.000005132959038</c:v>
                </c:pt>
                <c:pt idx="4">
                  <c:v>1</c:v>
                </c:pt>
                <c:pt idx="5">
                  <c:v>1.0000915135720867</c:v>
                </c:pt>
                <c:pt idx="6">
                  <c:v>1.0000332956365494</c:v>
                </c:pt>
                <c:pt idx="7">
                  <c:v>1.0000050968451548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D64-4E5E-ABD6-C430A885DA69}"/>
            </c:ext>
          </c:extLst>
        </c:ser>
        <c:ser>
          <c:idx val="2"/>
          <c:order val="2"/>
          <c:tx>
            <c:v>Patch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'RAID3+1'!$K$87:$R$87</c:f>
              <c:strCache>
                <c:ptCount val="8"/>
                <c:pt idx="0">
                  <c:v>web1_pre</c:v>
                </c:pt>
                <c:pt idx="1">
                  <c:v>hm_1</c:v>
                </c:pt>
                <c:pt idx="2">
                  <c:v>lun_0</c:v>
                </c:pt>
                <c:pt idx="3">
                  <c:v>lun_1</c:v>
                </c:pt>
                <c:pt idx="4">
                  <c:v>lun_2</c:v>
                </c:pt>
                <c:pt idx="5">
                  <c:v>usr_0</c:v>
                </c:pt>
                <c:pt idx="6">
                  <c:v>hm_0</c:v>
                </c:pt>
                <c:pt idx="7">
                  <c:v>wdev_0</c:v>
                </c:pt>
              </c:strCache>
            </c:strRef>
          </c:cat>
          <c:val>
            <c:numRef>
              <c:f>'RAID3+1'!$K$90:$R$90</c:f>
              <c:numCache>
                <c:formatCode>General</c:formatCode>
                <c:ptCount val="8"/>
                <c:pt idx="0">
                  <c:v>1</c:v>
                </c:pt>
                <c:pt idx="1">
                  <c:v>1</c:v>
                </c:pt>
                <c:pt idx="2">
                  <c:v>1.0000323165773617</c:v>
                </c:pt>
                <c:pt idx="3">
                  <c:v>1.0000266913869973</c:v>
                </c:pt>
                <c:pt idx="4">
                  <c:v>1.0000303119095493</c:v>
                </c:pt>
                <c:pt idx="5">
                  <c:v>1.0003795733387688</c:v>
                </c:pt>
                <c:pt idx="6">
                  <c:v>1.0002571800892093</c:v>
                </c:pt>
                <c:pt idx="7">
                  <c:v>1.0000071355832167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D64-4E5E-ABD6-C430A885DA69}"/>
            </c:ext>
          </c:extLst>
        </c:ser>
        <c:ser>
          <c:idx val="3"/>
          <c:order val="3"/>
          <c:tx>
            <c:v>BfP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'RAID3+1'!$K$87:$R$87</c:f>
              <c:strCache>
                <c:ptCount val="8"/>
                <c:pt idx="0">
                  <c:v>web1_pre</c:v>
                </c:pt>
                <c:pt idx="1">
                  <c:v>hm_1</c:v>
                </c:pt>
                <c:pt idx="2">
                  <c:v>lun_0</c:v>
                </c:pt>
                <c:pt idx="3">
                  <c:v>lun_1</c:v>
                </c:pt>
                <c:pt idx="4">
                  <c:v>lun_2</c:v>
                </c:pt>
                <c:pt idx="5">
                  <c:v>usr_0</c:v>
                </c:pt>
                <c:pt idx="6">
                  <c:v>hm_0</c:v>
                </c:pt>
                <c:pt idx="7">
                  <c:v>wdev_0</c:v>
                </c:pt>
              </c:strCache>
            </c:strRef>
          </c:cat>
          <c:val>
            <c:numRef>
              <c:f>'RAID3+1'!$K$91:$R$91</c:f>
              <c:numCache>
                <c:formatCode>General</c:formatCode>
                <c:ptCount val="8"/>
                <c:pt idx="0">
                  <c:v>0.98636400000000002</c:v>
                </c:pt>
                <c:pt idx="1">
                  <c:v>0.95766376871695369</c:v>
                </c:pt>
                <c:pt idx="2">
                  <c:v>0.99920042532785691</c:v>
                </c:pt>
                <c:pt idx="3">
                  <c:v>0.99618415825118034</c:v>
                </c:pt>
                <c:pt idx="4">
                  <c:v>0.99821384266322699</c:v>
                </c:pt>
                <c:pt idx="5">
                  <c:v>0.98592770843775934</c:v>
                </c:pt>
                <c:pt idx="6">
                  <c:v>0.99710327962020007</c:v>
                </c:pt>
                <c:pt idx="7">
                  <c:v>0.9883781736780568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D64-4E5E-ABD6-C430A885DA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39183752"/>
        <c:axId val="639182672"/>
      </c:barChart>
      <c:catAx>
        <c:axId val="6391837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39182672"/>
        <c:crosses val="autoZero"/>
        <c:auto val="1"/>
        <c:lblAlgn val="ctr"/>
        <c:lblOffset val="100"/>
        <c:noMultiLvlLbl val="0"/>
      </c:catAx>
      <c:valAx>
        <c:axId val="639182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39183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56930094063220138"/>
          <c:y val="2.6106137089573198E-2"/>
          <c:w val="0.42952120613560774"/>
          <c:h val="8.181488139525916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Erase counts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Baseline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'RAID3+1'!$K$102:$R$102</c:f>
              <c:strCache>
                <c:ptCount val="8"/>
                <c:pt idx="0">
                  <c:v>web1_pre</c:v>
                </c:pt>
                <c:pt idx="1">
                  <c:v>hm_1</c:v>
                </c:pt>
                <c:pt idx="2">
                  <c:v>lun_0</c:v>
                </c:pt>
                <c:pt idx="3">
                  <c:v>lun_1</c:v>
                </c:pt>
                <c:pt idx="4">
                  <c:v>lun_2</c:v>
                </c:pt>
                <c:pt idx="5">
                  <c:v>usr_0</c:v>
                </c:pt>
                <c:pt idx="6">
                  <c:v>hm_0</c:v>
                </c:pt>
                <c:pt idx="7">
                  <c:v>wdev_0</c:v>
                </c:pt>
              </c:strCache>
            </c:strRef>
          </c:cat>
          <c:val>
            <c:numRef>
              <c:f>'RAID3+1'!$K$103:$R$103</c:f>
              <c:numCache>
                <c:formatCode>General</c:formatCode>
                <c:ptCount val="8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B69-48F6-898C-1BBB91CF05DF}"/>
            </c:ext>
          </c:extLst>
        </c:ser>
        <c:ser>
          <c:idx val="1"/>
          <c:order val="1"/>
          <c:tx>
            <c:v>PPC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'RAID3+1'!$K$102:$R$102</c:f>
              <c:strCache>
                <c:ptCount val="8"/>
                <c:pt idx="0">
                  <c:v>web1_pre</c:v>
                </c:pt>
                <c:pt idx="1">
                  <c:v>hm_1</c:v>
                </c:pt>
                <c:pt idx="2">
                  <c:v>lun_0</c:v>
                </c:pt>
                <c:pt idx="3">
                  <c:v>lun_1</c:v>
                </c:pt>
                <c:pt idx="4">
                  <c:v>lun_2</c:v>
                </c:pt>
                <c:pt idx="5">
                  <c:v>usr_0</c:v>
                </c:pt>
                <c:pt idx="6">
                  <c:v>hm_0</c:v>
                </c:pt>
                <c:pt idx="7">
                  <c:v>wdev_0</c:v>
                </c:pt>
              </c:strCache>
            </c:strRef>
          </c:cat>
          <c:val>
            <c:numRef>
              <c:f>'RAID3+1'!$K$104:$R$104</c:f>
              <c:numCache>
                <c:formatCode>General</c:formatCode>
                <c:ptCount val="8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0.99818758495695514</c:v>
                </c:pt>
                <c:pt idx="6">
                  <c:v>0.99949418310571569</c:v>
                </c:pt>
                <c:pt idx="7">
                  <c:v>1.0037383177570094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B69-48F6-898C-1BBB91CF05DF}"/>
            </c:ext>
          </c:extLst>
        </c:ser>
        <c:ser>
          <c:idx val="2"/>
          <c:order val="2"/>
          <c:tx>
            <c:v>Patch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'RAID3+1'!$K$102:$R$102</c:f>
              <c:strCache>
                <c:ptCount val="8"/>
                <c:pt idx="0">
                  <c:v>web1_pre</c:v>
                </c:pt>
                <c:pt idx="1">
                  <c:v>hm_1</c:v>
                </c:pt>
                <c:pt idx="2">
                  <c:v>lun_0</c:v>
                </c:pt>
                <c:pt idx="3">
                  <c:v>lun_1</c:v>
                </c:pt>
                <c:pt idx="4">
                  <c:v>lun_2</c:v>
                </c:pt>
                <c:pt idx="5">
                  <c:v>usr_0</c:v>
                </c:pt>
                <c:pt idx="6">
                  <c:v>hm_0</c:v>
                </c:pt>
                <c:pt idx="7">
                  <c:v>wdev_0</c:v>
                </c:pt>
              </c:strCache>
            </c:strRef>
          </c:cat>
          <c:val>
            <c:numRef>
              <c:f>'RAID3+1'!$K$105:$R$105</c:f>
              <c:numCache>
                <c:formatCode>General</c:formatCode>
                <c:ptCount val="8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0.99891067538126366</c:v>
                </c:pt>
                <c:pt idx="5">
                  <c:v>0.99909379247847752</c:v>
                </c:pt>
                <c:pt idx="6">
                  <c:v>0.99983139436857194</c:v>
                </c:pt>
                <c:pt idx="7">
                  <c:v>1.0018691588785047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B69-48F6-898C-1BBB91CF05DF}"/>
            </c:ext>
          </c:extLst>
        </c:ser>
        <c:ser>
          <c:idx val="3"/>
          <c:order val="3"/>
          <c:tx>
            <c:v>BfP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'RAID3+1'!$K$102:$R$102</c:f>
              <c:strCache>
                <c:ptCount val="8"/>
                <c:pt idx="0">
                  <c:v>web1_pre</c:v>
                </c:pt>
                <c:pt idx="1">
                  <c:v>hm_1</c:v>
                </c:pt>
                <c:pt idx="2">
                  <c:v>lun_0</c:v>
                </c:pt>
                <c:pt idx="3">
                  <c:v>lun_1</c:v>
                </c:pt>
                <c:pt idx="4">
                  <c:v>lun_2</c:v>
                </c:pt>
                <c:pt idx="5">
                  <c:v>usr_0</c:v>
                </c:pt>
                <c:pt idx="6">
                  <c:v>hm_0</c:v>
                </c:pt>
                <c:pt idx="7">
                  <c:v>wdev_0</c:v>
                </c:pt>
              </c:strCache>
            </c:strRef>
          </c:cat>
          <c:val>
            <c:numRef>
              <c:f>'RAID3+1'!$K$106:$R$106</c:f>
              <c:numCache>
                <c:formatCode>General</c:formatCode>
                <c:ptCount val="8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0.99891067538126366</c:v>
                </c:pt>
                <c:pt idx="5">
                  <c:v>0.99954689623923876</c:v>
                </c:pt>
                <c:pt idx="6">
                  <c:v>0.99949418310571569</c:v>
                </c:pt>
                <c:pt idx="7">
                  <c:v>1.0018691588785047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B69-48F6-898C-1BBB91CF05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35827784"/>
        <c:axId val="435822384"/>
      </c:barChart>
      <c:catAx>
        <c:axId val="4358277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35822384"/>
        <c:crosses val="autoZero"/>
        <c:auto val="1"/>
        <c:lblAlgn val="ctr"/>
        <c:lblOffset val="100"/>
        <c:noMultiLvlLbl val="0"/>
      </c:catAx>
      <c:valAx>
        <c:axId val="435822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358277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98425</xdr:colOff>
      <xdr:row>39</xdr:row>
      <xdr:rowOff>117475</xdr:rowOff>
    </xdr:from>
    <xdr:to>
      <xdr:col>27</xdr:col>
      <xdr:colOff>403225</xdr:colOff>
      <xdr:row>58</xdr:row>
      <xdr:rowOff>15875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EC39623C-7564-FA02-A3A1-FC70210B80D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19</xdr:col>
      <xdr:colOff>117475</xdr:colOff>
      <xdr:row>59</xdr:row>
      <xdr:rowOff>79375</xdr:rowOff>
    </xdr:from>
    <xdr:to>
      <xdr:col>26</xdr:col>
      <xdr:colOff>422275</xdr:colOff>
      <xdr:row>82</xdr:row>
      <xdr:rowOff>155575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08CB3BE1-717C-6CBF-835E-6EA6210536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19</xdr:col>
      <xdr:colOff>301625</xdr:colOff>
      <xdr:row>71</xdr:row>
      <xdr:rowOff>155575</xdr:rowOff>
    </xdr:from>
    <xdr:to>
      <xdr:col>26</xdr:col>
      <xdr:colOff>606425</xdr:colOff>
      <xdr:row>91</xdr:row>
      <xdr:rowOff>53975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id="{E74C507E-3BD9-9901-3D95-CC8D418034B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18</xdr:col>
      <xdr:colOff>316674</xdr:colOff>
      <xdr:row>93</xdr:row>
      <xdr:rowOff>11793</xdr:rowOff>
    </xdr:from>
    <xdr:to>
      <xdr:col>26</xdr:col>
      <xdr:colOff>22265</xdr:colOff>
      <xdr:row>108</xdr:row>
      <xdr:rowOff>33565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3346C70B-04AA-8459-220B-221028E702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22</xdr:col>
      <xdr:colOff>462641</xdr:colOff>
      <xdr:row>84</xdr:row>
      <xdr:rowOff>39008</xdr:rowOff>
    </xdr:from>
    <xdr:to>
      <xdr:col>30</xdr:col>
      <xdr:colOff>172356</xdr:colOff>
      <xdr:row>99</xdr:row>
      <xdr:rowOff>60779</xdr:rowOff>
    </xdr:to>
    <xdr:graphicFrame macro="">
      <xdr:nvGraphicFramePr>
        <xdr:cNvPr id="8" name="图表 7">
          <a:extLst>
            <a:ext uri="{FF2B5EF4-FFF2-40B4-BE49-F238E27FC236}">
              <a16:creationId xmlns:a16="http://schemas.microsoft.com/office/drawing/2014/main" id="{3724D7B2-D96F-23E2-6AC5-3C5B31C2513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15</xdr:col>
      <xdr:colOff>100134</xdr:colOff>
      <xdr:row>107</xdr:row>
      <xdr:rowOff>32728</xdr:rowOff>
    </xdr:from>
    <xdr:to>
      <xdr:col>22</xdr:col>
      <xdr:colOff>398096</xdr:colOff>
      <xdr:row>122</xdr:row>
      <xdr:rowOff>138235</xdr:rowOff>
    </xdr:to>
    <xdr:graphicFrame macro="">
      <xdr:nvGraphicFramePr>
        <xdr:cNvPr id="6" name="图表 5">
          <a:extLst>
            <a:ext uri="{FF2B5EF4-FFF2-40B4-BE49-F238E27FC236}">
              <a16:creationId xmlns:a16="http://schemas.microsoft.com/office/drawing/2014/main" id="{3984C126-34BD-987A-160E-58A23CEE2F5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Yu Gothic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Yu Gothic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Yu Gothic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Yu Gothic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Yu Gothic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Yu Gothic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4.xml><?xml version="1.0" encoding="utf-8"?>
<a:themeOverride xmlns:a="http://schemas.openxmlformats.org/drawingml/2006/main">
  <a:clrScheme name="Office 主题​​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 主题​​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Angsana New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Cordia New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 主题​​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4"/>
  <sheetViews>
    <sheetView workbookViewId="0">
      <selection activeCell="B3" sqref="B3"/>
    </sheetView>
  </sheetViews>
  <sheetFormatPr defaultColWidth="9" defaultRowHeight="14"/>
  <cols>
    <col min="1" max="1" width="27.54296875" bestFit="1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>
        <v>3993316</v>
      </c>
      <c r="C2">
        <v>64.5</v>
      </c>
      <c r="D2">
        <v>8.34</v>
      </c>
      <c r="E2">
        <v>7.37</v>
      </c>
      <c r="F2">
        <v>1.51</v>
      </c>
      <c r="G2">
        <v>63.27</v>
      </c>
      <c r="H2">
        <v>91.52</v>
      </c>
      <c r="I2">
        <v>44.37</v>
      </c>
      <c r="J2">
        <v>64.180000000000007</v>
      </c>
      <c r="K2">
        <v>17.2</v>
      </c>
      <c r="L2">
        <v>24.88</v>
      </c>
      <c r="M2">
        <v>2.4300000000000002</v>
      </c>
    </row>
    <row r="3" spans="1:13">
      <c r="A3" t="s">
        <v>14</v>
      </c>
      <c r="B3">
        <v>609311</v>
      </c>
      <c r="C3">
        <v>4.66</v>
      </c>
      <c r="D3">
        <v>19.96</v>
      </c>
      <c r="E3">
        <v>14.93</v>
      </c>
      <c r="F3">
        <v>9.77</v>
      </c>
      <c r="G3">
        <v>43.21</v>
      </c>
      <c r="H3">
        <v>77.41</v>
      </c>
      <c r="I3">
        <v>34.89</v>
      </c>
      <c r="J3">
        <v>62.5</v>
      </c>
      <c r="K3">
        <v>6.13</v>
      </c>
      <c r="L3">
        <v>10.98</v>
      </c>
      <c r="M3">
        <v>0.2</v>
      </c>
    </row>
    <row r="4" spans="1:13">
      <c r="A4" t="s">
        <v>15</v>
      </c>
      <c r="B4">
        <v>1637711</v>
      </c>
      <c r="C4">
        <v>7.12</v>
      </c>
      <c r="D4">
        <v>13.84</v>
      </c>
      <c r="E4">
        <v>60.09</v>
      </c>
      <c r="F4">
        <v>3.66</v>
      </c>
      <c r="G4">
        <v>0.24</v>
      </c>
      <c r="H4">
        <v>33.26</v>
      </c>
      <c r="I4">
        <v>0.12</v>
      </c>
      <c r="J4">
        <v>16.690000000000001</v>
      </c>
      <c r="K4">
        <v>0.12</v>
      </c>
      <c r="L4">
        <v>15.97</v>
      </c>
      <c r="M4">
        <v>84.38</v>
      </c>
    </row>
    <row r="5" spans="1:13">
      <c r="A5" t="s">
        <v>16</v>
      </c>
      <c r="B5">
        <v>2244644</v>
      </c>
      <c r="C5">
        <v>5.18</v>
      </c>
      <c r="D5">
        <v>23.67</v>
      </c>
      <c r="E5">
        <v>8.99</v>
      </c>
      <c r="F5">
        <v>2.69</v>
      </c>
      <c r="G5">
        <v>8.92</v>
      </c>
      <c r="H5">
        <v>27.39</v>
      </c>
      <c r="I5">
        <v>1.63</v>
      </c>
      <c r="J5">
        <v>5.01</v>
      </c>
      <c r="K5">
        <v>0.28999999999999998</v>
      </c>
      <c r="L5">
        <v>0.9</v>
      </c>
      <c r="M5">
        <v>5.85</v>
      </c>
    </row>
    <row r="6" spans="1:13">
      <c r="A6" t="s">
        <v>17</v>
      </c>
      <c r="B6">
        <v>1907773</v>
      </c>
      <c r="C6">
        <v>74.63</v>
      </c>
      <c r="D6">
        <v>32.520000000000003</v>
      </c>
      <c r="E6">
        <v>19.11</v>
      </c>
      <c r="F6">
        <v>3.17</v>
      </c>
      <c r="G6">
        <v>32.42</v>
      </c>
      <c r="H6">
        <v>96.9</v>
      </c>
      <c r="I6">
        <v>30.77</v>
      </c>
      <c r="J6">
        <v>91.98</v>
      </c>
      <c r="K6">
        <v>24.32</v>
      </c>
      <c r="L6">
        <v>72.7</v>
      </c>
      <c r="M6">
        <v>2.0099999999999998</v>
      </c>
    </row>
    <row r="7" spans="1:13">
      <c r="A7" t="s">
        <v>18</v>
      </c>
      <c r="B7">
        <v>657774</v>
      </c>
      <c r="C7">
        <v>2.14</v>
      </c>
      <c r="D7">
        <v>13.37</v>
      </c>
      <c r="E7">
        <v>60.31</v>
      </c>
      <c r="F7">
        <v>10.45</v>
      </c>
      <c r="G7">
        <v>0.18</v>
      </c>
      <c r="H7">
        <v>52.69</v>
      </c>
      <c r="I7">
        <v>0.11</v>
      </c>
      <c r="J7">
        <v>31.24</v>
      </c>
      <c r="K7">
        <v>0.04</v>
      </c>
      <c r="L7">
        <v>10.58</v>
      </c>
      <c r="M7">
        <v>19.239999999999998</v>
      </c>
    </row>
    <row r="8" spans="1:13">
      <c r="A8" t="s">
        <v>19</v>
      </c>
      <c r="B8">
        <v>1156885</v>
      </c>
      <c r="C8">
        <v>69.67</v>
      </c>
      <c r="D8">
        <v>51.11</v>
      </c>
      <c r="E8">
        <v>68.08</v>
      </c>
      <c r="F8">
        <v>5.48</v>
      </c>
      <c r="G8">
        <v>72.81</v>
      </c>
      <c r="H8">
        <v>73.709999999999994</v>
      </c>
      <c r="I8">
        <v>12.61</v>
      </c>
      <c r="J8">
        <v>12.77</v>
      </c>
      <c r="K8">
        <v>0.9</v>
      </c>
      <c r="L8">
        <v>0.91</v>
      </c>
      <c r="M8">
        <v>20.32</v>
      </c>
    </row>
    <row r="9" spans="1:13">
      <c r="A9" t="s">
        <v>20</v>
      </c>
      <c r="B9">
        <v>2030915</v>
      </c>
      <c r="C9">
        <v>84.81</v>
      </c>
      <c r="D9">
        <v>9.19</v>
      </c>
      <c r="E9">
        <v>24.92</v>
      </c>
      <c r="F9">
        <v>2.98</v>
      </c>
      <c r="G9">
        <v>5.12</v>
      </c>
      <c r="H9">
        <v>77.28</v>
      </c>
      <c r="I9">
        <v>4.16</v>
      </c>
      <c r="J9">
        <v>62.8</v>
      </c>
      <c r="K9">
        <v>3.4</v>
      </c>
      <c r="L9">
        <v>51.3</v>
      </c>
      <c r="M9">
        <v>6.4</v>
      </c>
    </row>
    <row r="10" spans="1:13">
      <c r="A10" t="s">
        <v>21</v>
      </c>
      <c r="B10">
        <v>2196861</v>
      </c>
      <c r="C10">
        <v>36.25</v>
      </c>
      <c r="D10">
        <v>7.88</v>
      </c>
      <c r="E10">
        <v>59.54</v>
      </c>
      <c r="F10">
        <v>2.75</v>
      </c>
      <c r="G10">
        <v>0.34</v>
      </c>
      <c r="H10">
        <v>63.63</v>
      </c>
      <c r="I10">
        <v>0.19</v>
      </c>
      <c r="J10">
        <v>35.07</v>
      </c>
      <c r="K10">
        <v>0.16</v>
      </c>
      <c r="L10">
        <v>29.51</v>
      </c>
      <c r="M10">
        <v>79.92</v>
      </c>
    </row>
    <row r="11" spans="1:13">
      <c r="A11" t="s">
        <v>22</v>
      </c>
      <c r="B11">
        <v>1801734</v>
      </c>
      <c r="C11">
        <v>82.42</v>
      </c>
      <c r="D11">
        <v>8.01</v>
      </c>
      <c r="E11">
        <v>13.68</v>
      </c>
      <c r="F11">
        <v>3.88</v>
      </c>
      <c r="G11">
        <v>38.18</v>
      </c>
      <c r="H11">
        <v>65.13</v>
      </c>
      <c r="I11">
        <v>23.27</v>
      </c>
      <c r="J11">
        <v>39.700000000000003</v>
      </c>
      <c r="K11">
        <v>14.44</v>
      </c>
      <c r="L11">
        <v>24.63</v>
      </c>
      <c r="M11">
        <v>1</v>
      </c>
    </row>
    <row r="12" spans="1:13">
      <c r="A12" t="s">
        <v>23</v>
      </c>
      <c r="B12">
        <v>2237889</v>
      </c>
      <c r="C12">
        <v>59.58</v>
      </c>
      <c r="D12">
        <v>10.28</v>
      </c>
      <c r="E12">
        <v>40.92</v>
      </c>
      <c r="F12">
        <v>2.7</v>
      </c>
      <c r="G12">
        <v>24.16</v>
      </c>
      <c r="H12">
        <v>90.22</v>
      </c>
      <c r="I12">
        <v>19.78</v>
      </c>
      <c r="J12">
        <v>73.87</v>
      </c>
      <c r="K12">
        <v>8.83</v>
      </c>
      <c r="L12">
        <v>32.97</v>
      </c>
      <c r="M12">
        <v>2.5</v>
      </c>
    </row>
    <row r="13" spans="1:13">
      <c r="A13" t="s">
        <v>24</v>
      </c>
      <c r="B13">
        <v>1143261</v>
      </c>
      <c r="C13">
        <v>79.92</v>
      </c>
      <c r="D13">
        <v>8.1999999999999993</v>
      </c>
      <c r="E13">
        <v>12.57</v>
      </c>
      <c r="F13">
        <v>5.29</v>
      </c>
      <c r="G13">
        <v>55.6</v>
      </c>
      <c r="H13">
        <v>85.47</v>
      </c>
      <c r="I13">
        <v>32.71</v>
      </c>
      <c r="J13">
        <v>50.28</v>
      </c>
      <c r="K13">
        <v>23.45</v>
      </c>
      <c r="L13">
        <v>36.049999999999997</v>
      </c>
      <c r="M13">
        <v>0.56000000000000005</v>
      </c>
    </row>
    <row r="14" spans="1:13">
      <c r="A14" t="s">
        <v>25</v>
      </c>
      <c r="B14">
        <v>1055448</v>
      </c>
      <c r="C14">
        <v>0.02</v>
      </c>
      <c r="D14">
        <v>8.6</v>
      </c>
      <c r="E14">
        <v>15.15</v>
      </c>
      <c r="F14">
        <v>0.03</v>
      </c>
      <c r="G14">
        <v>0.39</v>
      </c>
      <c r="H14">
        <v>100</v>
      </c>
      <c r="I14">
        <v>0.18</v>
      </c>
      <c r="J14">
        <v>45.45</v>
      </c>
      <c r="K14">
        <v>0.14000000000000001</v>
      </c>
      <c r="L14">
        <v>36.36</v>
      </c>
      <c r="M14">
        <v>0.02</v>
      </c>
    </row>
    <row r="15" spans="1:13">
      <c r="A15" t="s">
        <v>26</v>
      </c>
      <c r="B15">
        <v>2029945</v>
      </c>
      <c r="C15">
        <v>70.12</v>
      </c>
      <c r="D15">
        <v>8.6</v>
      </c>
      <c r="E15">
        <v>30</v>
      </c>
      <c r="F15">
        <v>2.98</v>
      </c>
      <c r="G15">
        <v>9.0500000000000007</v>
      </c>
      <c r="H15">
        <v>91.06</v>
      </c>
      <c r="I15">
        <v>5.97</v>
      </c>
      <c r="J15">
        <v>60.01</v>
      </c>
      <c r="K15">
        <v>2.65</v>
      </c>
      <c r="L15">
        <v>26.68</v>
      </c>
      <c r="M15">
        <v>7.31</v>
      </c>
    </row>
    <row r="17" spans="1:13" s="1" customFormat="1"/>
    <row r="18" spans="1:13">
      <c r="A18" t="s">
        <v>0</v>
      </c>
      <c r="B18" t="s">
        <v>1</v>
      </c>
      <c r="C18" t="s">
        <v>2</v>
      </c>
      <c r="D18" t="s">
        <v>3</v>
      </c>
      <c r="E18" t="s">
        <v>4</v>
      </c>
      <c r="F18" t="s">
        <v>5</v>
      </c>
      <c r="G18" t="s">
        <v>6</v>
      </c>
      <c r="H18" t="s">
        <v>7</v>
      </c>
      <c r="I18" t="s">
        <v>8</v>
      </c>
      <c r="J18" t="s">
        <v>9</v>
      </c>
      <c r="K18" t="s">
        <v>10</v>
      </c>
      <c r="L18" t="s">
        <v>11</v>
      </c>
      <c r="M18" t="s">
        <v>12</v>
      </c>
    </row>
    <row r="19" spans="1:13">
      <c r="A19" t="s">
        <v>27</v>
      </c>
      <c r="B19">
        <v>719455</v>
      </c>
      <c r="C19">
        <v>53.17</v>
      </c>
      <c r="D19">
        <v>21.14</v>
      </c>
      <c r="E19">
        <v>27.48</v>
      </c>
      <c r="F19">
        <v>840.63</v>
      </c>
      <c r="G19">
        <v>42.06</v>
      </c>
      <c r="H19">
        <v>66.459999999999994</v>
      </c>
      <c r="I19">
        <v>22.12</v>
      </c>
      <c r="J19">
        <v>34.950000000000003</v>
      </c>
      <c r="K19">
        <v>5.39</v>
      </c>
      <c r="L19">
        <v>8.51</v>
      </c>
      <c r="M19">
        <v>2.9</v>
      </c>
    </row>
    <row r="20" spans="1:13">
      <c r="A20">
        <v>112</v>
      </c>
      <c r="B20">
        <v>1890017</v>
      </c>
      <c r="C20">
        <v>32.9</v>
      </c>
      <c r="D20">
        <v>10.52</v>
      </c>
      <c r="E20">
        <v>19.68</v>
      </c>
      <c r="F20">
        <v>73.89</v>
      </c>
      <c r="G20">
        <v>45.56</v>
      </c>
      <c r="H20">
        <v>73.290000000000006</v>
      </c>
      <c r="I20">
        <v>37.04</v>
      </c>
      <c r="J20">
        <v>59.58</v>
      </c>
      <c r="K20">
        <v>21.66</v>
      </c>
      <c r="L20">
        <v>34.840000000000003</v>
      </c>
      <c r="M20">
        <v>1.47</v>
      </c>
    </row>
    <row r="21" spans="1:13">
      <c r="A21" t="s">
        <v>28</v>
      </c>
      <c r="B21">
        <v>5404862</v>
      </c>
      <c r="C21">
        <v>47.28</v>
      </c>
      <c r="D21">
        <v>71.03</v>
      </c>
      <c r="E21">
        <v>35.49</v>
      </c>
      <c r="F21">
        <v>111.9</v>
      </c>
      <c r="G21">
        <v>97.13</v>
      </c>
      <c r="H21">
        <v>99.09</v>
      </c>
      <c r="I21">
        <v>89.87</v>
      </c>
      <c r="J21">
        <v>91.69</v>
      </c>
      <c r="K21">
        <v>3.83</v>
      </c>
      <c r="L21">
        <v>3.91</v>
      </c>
      <c r="M21">
        <v>31.52</v>
      </c>
    </row>
    <row r="22" spans="1:13">
      <c r="A22">
        <v>121</v>
      </c>
      <c r="B22">
        <v>2340016</v>
      </c>
      <c r="C22">
        <v>22.82</v>
      </c>
      <c r="D22">
        <v>6.38</v>
      </c>
      <c r="E22">
        <v>20.399999999999999</v>
      </c>
      <c r="F22">
        <v>14.93</v>
      </c>
      <c r="G22">
        <v>44.99</v>
      </c>
      <c r="H22">
        <v>75.239999999999995</v>
      </c>
      <c r="I22">
        <v>26.52</v>
      </c>
      <c r="J22">
        <v>44.35</v>
      </c>
      <c r="K22">
        <v>10.08</v>
      </c>
      <c r="L22">
        <v>16.850000000000001</v>
      </c>
      <c r="M22">
        <v>1.1499999999999999</v>
      </c>
    </row>
    <row r="23" spans="1:13">
      <c r="A23" t="s">
        <v>29</v>
      </c>
      <c r="B23">
        <v>380801</v>
      </c>
      <c r="C23">
        <v>71.260000000000005</v>
      </c>
      <c r="D23">
        <v>46.97</v>
      </c>
      <c r="E23">
        <v>20.74</v>
      </c>
      <c r="F23">
        <v>226.88</v>
      </c>
      <c r="G23">
        <v>7.24</v>
      </c>
      <c r="H23">
        <v>7.32</v>
      </c>
      <c r="I23">
        <v>3.06</v>
      </c>
      <c r="J23">
        <v>3.09</v>
      </c>
      <c r="K23">
        <v>2.44</v>
      </c>
      <c r="L23">
        <v>2.4700000000000002</v>
      </c>
      <c r="M23">
        <v>8.0500000000000007</v>
      </c>
    </row>
    <row r="24" spans="1:13">
      <c r="A24">
        <v>188</v>
      </c>
      <c r="B24">
        <v>1404065</v>
      </c>
      <c r="C24">
        <v>54.18</v>
      </c>
      <c r="D24">
        <v>6.22</v>
      </c>
      <c r="E24">
        <v>16.809999999999999</v>
      </c>
      <c r="F24">
        <v>42.79</v>
      </c>
      <c r="G24">
        <v>53.34</v>
      </c>
      <c r="H24">
        <v>90.54</v>
      </c>
      <c r="I24">
        <v>39.42</v>
      </c>
      <c r="J24">
        <v>66.91</v>
      </c>
      <c r="K24">
        <v>33.51</v>
      </c>
      <c r="L24">
        <v>56.89</v>
      </c>
      <c r="M24">
        <v>0.91</v>
      </c>
    </row>
    <row r="25" spans="1:13">
      <c r="A25">
        <v>206</v>
      </c>
      <c r="B25">
        <v>2757608</v>
      </c>
      <c r="C25">
        <v>17.66</v>
      </c>
      <c r="D25">
        <v>7.55</v>
      </c>
      <c r="E25">
        <v>131.12</v>
      </c>
      <c r="F25">
        <v>7.83</v>
      </c>
      <c r="G25">
        <v>15.18</v>
      </c>
      <c r="H25">
        <v>44.56</v>
      </c>
      <c r="I25">
        <v>8.52</v>
      </c>
      <c r="J25">
        <v>25</v>
      </c>
      <c r="K25">
        <v>1.52</v>
      </c>
      <c r="L25">
        <v>4.47</v>
      </c>
      <c r="M25">
        <v>2.59</v>
      </c>
    </row>
    <row r="26" spans="1:13">
      <c r="A26">
        <v>373</v>
      </c>
      <c r="B26">
        <v>1286251</v>
      </c>
      <c r="C26">
        <v>53.16</v>
      </c>
      <c r="D26">
        <v>12.06</v>
      </c>
      <c r="E26">
        <v>13.37</v>
      </c>
      <c r="F26">
        <v>268.69</v>
      </c>
      <c r="G26">
        <v>66.930000000000007</v>
      </c>
      <c r="H26">
        <v>89.07</v>
      </c>
      <c r="I26">
        <v>50.63</v>
      </c>
      <c r="J26">
        <v>67.38</v>
      </c>
      <c r="K26">
        <v>34.119999999999997</v>
      </c>
      <c r="L26">
        <v>45.4</v>
      </c>
      <c r="M26">
        <v>0.41</v>
      </c>
    </row>
    <row r="27" spans="1:13">
      <c r="A27">
        <v>735</v>
      </c>
      <c r="B27">
        <v>1296584</v>
      </c>
      <c r="C27">
        <v>29.58</v>
      </c>
      <c r="D27">
        <v>11.95</v>
      </c>
      <c r="E27">
        <v>31.74</v>
      </c>
      <c r="F27">
        <v>266.55</v>
      </c>
      <c r="G27">
        <v>62.53</v>
      </c>
      <c r="H27">
        <v>88.42</v>
      </c>
      <c r="I27">
        <v>56.32</v>
      </c>
      <c r="J27">
        <v>79.64</v>
      </c>
      <c r="K27">
        <v>53.28</v>
      </c>
      <c r="L27">
        <v>75.34</v>
      </c>
      <c r="M27">
        <v>0.35</v>
      </c>
    </row>
    <row r="28" spans="1:13">
      <c r="A28" t="s">
        <v>30</v>
      </c>
      <c r="B28">
        <v>1469023</v>
      </c>
      <c r="C28">
        <v>28.58</v>
      </c>
      <c r="D28">
        <v>326.57</v>
      </c>
      <c r="E28">
        <v>115.3</v>
      </c>
      <c r="F28">
        <v>176.44</v>
      </c>
      <c r="G28">
        <v>53.72</v>
      </c>
      <c r="H28">
        <v>57.16</v>
      </c>
      <c r="I28">
        <v>1.93</v>
      </c>
      <c r="J28">
        <v>2.06</v>
      </c>
      <c r="K28">
        <v>0.02</v>
      </c>
      <c r="L28">
        <v>0.03</v>
      </c>
      <c r="M28">
        <v>71.87</v>
      </c>
    </row>
    <row r="29" spans="1:13">
      <c r="A29">
        <v>14</v>
      </c>
      <c r="B29" t="s">
        <v>1</v>
      </c>
      <c r="C29">
        <v>69.86</v>
      </c>
      <c r="D29">
        <v>47.36</v>
      </c>
      <c r="E29">
        <v>25.59</v>
      </c>
      <c r="F29">
        <v>221.74</v>
      </c>
      <c r="G29">
        <v>62.23</v>
      </c>
      <c r="H29">
        <v>64.02</v>
      </c>
      <c r="I29">
        <v>7.4</v>
      </c>
      <c r="J29">
        <v>7.61</v>
      </c>
      <c r="K29">
        <v>2.1</v>
      </c>
      <c r="L29">
        <v>2.16</v>
      </c>
      <c r="M29">
        <v>18.63</v>
      </c>
    </row>
    <row r="30" spans="1:13">
      <c r="A30">
        <v>624</v>
      </c>
      <c r="B30">
        <v>357738</v>
      </c>
      <c r="C30">
        <v>80.680000000000007</v>
      </c>
      <c r="D30">
        <v>7.32</v>
      </c>
      <c r="E30">
        <v>23.4</v>
      </c>
      <c r="F30">
        <v>966.07</v>
      </c>
      <c r="G30">
        <v>65.06</v>
      </c>
      <c r="H30">
        <v>96.99</v>
      </c>
      <c r="I30">
        <v>50.77</v>
      </c>
      <c r="J30">
        <v>75.680000000000007</v>
      </c>
      <c r="K30">
        <v>41.58</v>
      </c>
      <c r="L30">
        <v>61.98</v>
      </c>
      <c r="M30">
        <v>0.41</v>
      </c>
    </row>
    <row r="32" spans="1:13" s="1" customFormat="1"/>
    <row r="33" spans="1:13">
      <c r="A33" t="s">
        <v>31</v>
      </c>
      <c r="B33">
        <v>1370658</v>
      </c>
      <c r="C33">
        <v>40.25</v>
      </c>
      <c r="D33">
        <v>22.08</v>
      </c>
      <c r="E33">
        <v>22.57</v>
      </c>
      <c r="F33">
        <v>2.62</v>
      </c>
      <c r="G33">
        <v>13.46</v>
      </c>
      <c r="H33">
        <v>36.840000000000003</v>
      </c>
      <c r="I33">
        <v>2.73</v>
      </c>
      <c r="J33">
        <v>7.46</v>
      </c>
      <c r="K33">
        <v>0.81</v>
      </c>
      <c r="L33">
        <v>2.23</v>
      </c>
      <c r="M33">
        <v>19.52</v>
      </c>
    </row>
    <row r="34" spans="1:13">
      <c r="A34" s="2" t="s">
        <v>32</v>
      </c>
      <c r="B34">
        <v>1955881</v>
      </c>
      <c r="C34">
        <v>19.3</v>
      </c>
      <c r="D34">
        <v>22.73</v>
      </c>
      <c r="E34">
        <v>38.979999999999997</v>
      </c>
      <c r="F34">
        <v>1.73</v>
      </c>
      <c r="G34">
        <v>1.78</v>
      </c>
      <c r="H34">
        <v>15.44</v>
      </c>
      <c r="I34">
        <v>0.19</v>
      </c>
      <c r="J34">
        <v>1.65</v>
      </c>
      <c r="K34">
        <v>0.08</v>
      </c>
      <c r="L34">
        <v>0.65</v>
      </c>
      <c r="M34">
        <v>61.34</v>
      </c>
    </row>
    <row r="35" spans="1:13">
      <c r="A35" t="s">
        <v>33</v>
      </c>
      <c r="B35">
        <v>1894391</v>
      </c>
      <c r="C35">
        <v>33.22</v>
      </c>
      <c r="D35">
        <v>18.57</v>
      </c>
      <c r="E35">
        <v>27.32</v>
      </c>
      <c r="F35">
        <v>1.9</v>
      </c>
      <c r="G35">
        <v>4.54</v>
      </c>
      <c r="H35">
        <v>17.43</v>
      </c>
      <c r="I35">
        <v>0.87</v>
      </c>
      <c r="J35">
        <v>3.33</v>
      </c>
      <c r="K35">
        <v>0.28999999999999998</v>
      </c>
      <c r="L35">
        <v>1.1000000000000001</v>
      </c>
      <c r="M35">
        <v>34.72</v>
      </c>
    </row>
    <row r="36" spans="1:13">
      <c r="A36" t="s">
        <v>34</v>
      </c>
      <c r="B36">
        <v>867967</v>
      </c>
      <c r="C36">
        <v>52.81</v>
      </c>
      <c r="D36">
        <v>11.28</v>
      </c>
      <c r="E36">
        <v>26.86</v>
      </c>
      <c r="F36">
        <v>4.1500000000000004</v>
      </c>
      <c r="G36">
        <v>6.7</v>
      </c>
      <c r="H36">
        <v>26.49</v>
      </c>
      <c r="I36">
        <v>1.79</v>
      </c>
      <c r="J36">
        <v>7.08</v>
      </c>
      <c r="K36">
        <v>0.81</v>
      </c>
      <c r="L36">
        <v>3.21</v>
      </c>
      <c r="M36">
        <v>11.82</v>
      </c>
    </row>
    <row r="37" spans="1:13">
      <c r="A37" t="s">
        <v>35</v>
      </c>
      <c r="B37">
        <v>821226</v>
      </c>
      <c r="C37">
        <v>52.93</v>
      </c>
      <c r="D37">
        <v>9.06</v>
      </c>
      <c r="E37">
        <v>24.88</v>
      </c>
      <c r="F37">
        <v>4.38</v>
      </c>
      <c r="G37">
        <v>6.75</v>
      </c>
      <c r="H37">
        <v>30.54</v>
      </c>
      <c r="I37">
        <v>1.81</v>
      </c>
      <c r="J37">
        <v>8.19</v>
      </c>
      <c r="K37">
        <v>0.76</v>
      </c>
      <c r="L37">
        <v>3.46</v>
      </c>
      <c r="M37">
        <v>10.27</v>
      </c>
    </row>
    <row r="38" spans="1:13">
      <c r="A38" t="s">
        <v>36</v>
      </c>
      <c r="B38">
        <v>749806</v>
      </c>
      <c r="C38">
        <v>61.46</v>
      </c>
      <c r="D38">
        <v>8.85</v>
      </c>
      <c r="E38">
        <v>25.21</v>
      </c>
      <c r="F38">
        <v>4.8</v>
      </c>
      <c r="G38">
        <v>9.82</v>
      </c>
      <c r="H38">
        <v>35.39</v>
      </c>
      <c r="I38">
        <v>2.25</v>
      </c>
      <c r="J38">
        <v>8.11</v>
      </c>
      <c r="K38">
        <v>0.96</v>
      </c>
      <c r="L38">
        <v>3.46</v>
      </c>
      <c r="M38">
        <v>7.85</v>
      </c>
    </row>
    <row r="39" spans="1:13">
      <c r="A39" t="s">
        <v>37</v>
      </c>
      <c r="B39">
        <v>1008519</v>
      </c>
      <c r="C39">
        <v>44.53</v>
      </c>
      <c r="D39">
        <v>12.58</v>
      </c>
      <c r="E39">
        <v>22.12</v>
      </c>
      <c r="F39">
        <v>3.57</v>
      </c>
      <c r="G39">
        <v>8.36</v>
      </c>
      <c r="H39">
        <v>36.99</v>
      </c>
      <c r="I39">
        <v>1.87</v>
      </c>
      <c r="J39">
        <v>8.25</v>
      </c>
      <c r="K39">
        <v>0.88</v>
      </c>
      <c r="L39">
        <v>3.89</v>
      </c>
      <c r="M39">
        <v>12.76</v>
      </c>
    </row>
    <row r="40" spans="1:13">
      <c r="A40" t="s">
        <v>38</v>
      </c>
      <c r="B40">
        <v>1054308</v>
      </c>
      <c r="C40">
        <v>48.04</v>
      </c>
      <c r="D40">
        <v>14.9</v>
      </c>
      <c r="E40">
        <v>28.4</v>
      </c>
      <c r="F40">
        <v>3.41</v>
      </c>
      <c r="G40">
        <v>8.7899999999999991</v>
      </c>
      <c r="H40">
        <v>32.159999999999997</v>
      </c>
      <c r="I40">
        <v>1.3</v>
      </c>
      <c r="J40">
        <v>4.7699999999999996</v>
      </c>
      <c r="K40">
        <v>0.47</v>
      </c>
      <c r="L40">
        <v>1.73</v>
      </c>
      <c r="M40">
        <v>17.61</v>
      </c>
    </row>
    <row r="41" spans="1:13">
      <c r="A41" t="s">
        <v>39</v>
      </c>
      <c r="B41">
        <v>1147164</v>
      </c>
      <c r="C41">
        <v>30.78</v>
      </c>
      <c r="D41">
        <v>13.01</v>
      </c>
      <c r="E41">
        <v>23.53</v>
      </c>
      <c r="F41">
        <v>3.13</v>
      </c>
      <c r="G41">
        <v>5.46</v>
      </c>
      <c r="H41">
        <v>36.83</v>
      </c>
      <c r="I41">
        <v>0.57999999999999996</v>
      </c>
      <c r="J41">
        <v>3.89</v>
      </c>
      <c r="K41">
        <v>0.25</v>
      </c>
      <c r="L41">
        <v>1.66</v>
      </c>
      <c r="M41">
        <v>19.84</v>
      </c>
    </row>
    <row r="42" spans="1:13">
      <c r="A42" t="s">
        <v>40</v>
      </c>
      <c r="B42">
        <v>1764623</v>
      </c>
      <c r="C42">
        <v>24.04</v>
      </c>
      <c r="D42">
        <v>22.18</v>
      </c>
      <c r="E42">
        <v>28.88</v>
      </c>
      <c r="F42">
        <v>2.04</v>
      </c>
      <c r="G42">
        <v>6.29</v>
      </c>
      <c r="H42">
        <v>41.58</v>
      </c>
      <c r="I42">
        <v>2.1</v>
      </c>
      <c r="J42">
        <v>13.92</v>
      </c>
      <c r="K42">
        <v>0.27</v>
      </c>
      <c r="L42">
        <v>1.8</v>
      </c>
      <c r="M42">
        <v>33.299999999999997</v>
      </c>
    </row>
    <row r="43" spans="1:13">
      <c r="A43" t="s">
        <v>41</v>
      </c>
      <c r="B43">
        <v>1570278</v>
      </c>
      <c r="C43">
        <v>17.600000000000001</v>
      </c>
      <c r="D43">
        <v>29.5</v>
      </c>
      <c r="E43">
        <v>17.53</v>
      </c>
      <c r="F43">
        <v>2.29</v>
      </c>
      <c r="G43">
        <v>10.02</v>
      </c>
      <c r="H43">
        <v>53.34</v>
      </c>
      <c r="I43">
        <v>3.96</v>
      </c>
      <c r="J43">
        <v>21.07</v>
      </c>
      <c r="K43">
        <v>0.45</v>
      </c>
      <c r="L43">
        <v>2.41</v>
      </c>
      <c r="M43">
        <v>19.079999999999998</v>
      </c>
    </row>
    <row r="44" spans="1:13">
      <c r="A44" s="2"/>
    </row>
  </sheetData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9"/>
  <sheetViews>
    <sheetView workbookViewId="0">
      <selection activeCell="A2" sqref="A2:A5"/>
    </sheetView>
  </sheetViews>
  <sheetFormatPr defaultColWidth="9" defaultRowHeight="14"/>
  <cols>
    <col min="2" max="2" width="12.453125" bestFit="1" customWidth="1"/>
    <col min="3" max="3" width="13.54296875" bestFit="1" customWidth="1"/>
    <col min="4" max="4" width="12.453125" bestFit="1" customWidth="1"/>
    <col min="5" max="15" width="13.54296875" bestFit="1" customWidth="1"/>
  </cols>
  <sheetData>
    <row r="1" spans="1:15">
      <c r="B1" t="s">
        <v>13</v>
      </c>
      <c r="C1" t="s">
        <v>14</v>
      </c>
      <c r="D1" s="4" t="s">
        <v>15</v>
      </c>
      <c r="E1" s="5" t="s">
        <v>16</v>
      </c>
      <c r="F1" s="4" t="s">
        <v>17</v>
      </c>
      <c r="G1" s="4" t="s">
        <v>18</v>
      </c>
      <c r="H1" t="s">
        <v>19</v>
      </c>
      <c r="I1" t="s">
        <v>20</v>
      </c>
      <c r="J1" s="4" t="s">
        <v>21</v>
      </c>
      <c r="K1" t="s">
        <v>22</v>
      </c>
      <c r="L1" t="s">
        <v>23</v>
      </c>
      <c r="M1" t="s">
        <v>24</v>
      </c>
      <c r="N1" t="s">
        <v>25</v>
      </c>
      <c r="O1" s="4" t="s">
        <v>26</v>
      </c>
    </row>
    <row r="2" spans="1:15">
      <c r="A2" s="2" t="s">
        <v>42</v>
      </c>
      <c r="B2">
        <v>410322100242777</v>
      </c>
      <c r="C2" s="3">
        <v>4626661195727</v>
      </c>
      <c r="D2">
        <v>1.28862394990819E+16</v>
      </c>
      <c r="E2" s="3">
        <v>169823465718560</v>
      </c>
      <c r="F2" s="3">
        <v>8856645260782840</v>
      </c>
      <c r="G2" s="3">
        <v>5641681153174</v>
      </c>
      <c r="H2" s="3">
        <v>4.11461695371346E+16</v>
      </c>
      <c r="I2" s="3">
        <v>5950236493735</v>
      </c>
      <c r="J2" s="3">
        <v>4328143556489</v>
      </c>
      <c r="K2" s="3">
        <v>4878258735699</v>
      </c>
      <c r="L2" s="3">
        <v>12784899770318</v>
      </c>
      <c r="M2" s="3">
        <v>4129323720992</v>
      </c>
      <c r="N2" s="3">
        <v>200128882127</v>
      </c>
      <c r="O2" s="3">
        <v>22522286451154</v>
      </c>
    </row>
    <row r="3" spans="1:15">
      <c r="A3" s="2" t="s">
        <v>43</v>
      </c>
      <c r="B3" s="3">
        <v>387180910658771</v>
      </c>
      <c r="C3" s="3">
        <v>4572170605718</v>
      </c>
      <c r="D3" s="3">
        <v>1.28849001474489E+16</v>
      </c>
      <c r="E3" s="3">
        <v>170035037206869</v>
      </c>
      <c r="F3" s="3">
        <v>8620299629988070</v>
      </c>
      <c r="G3" s="3">
        <v>5636926569006</v>
      </c>
      <c r="H3" s="3">
        <v>3.7330458640330304E+16</v>
      </c>
      <c r="I3" s="3">
        <v>5932948003492</v>
      </c>
      <c r="J3" s="3">
        <v>3705166316626</v>
      </c>
      <c r="K3" s="3">
        <v>4788305179085</v>
      </c>
      <c r="L3" s="3">
        <v>12590967544163</v>
      </c>
      <c r="M3" s="3">
        <v>4052885710540</v>
      </c>
      <c r="N3" s="3">
        <v>200127066203</v>
      </c>
      <c r="O3" s="3">
        <v>21041451566451</v>
      </c>
    </row>
    <row r="4" spans="1:15">
      <c r="A4" s="2" t="s">
        <v>44</v>
      </c>
      <c r="B4" s="3">
        <v>386546497356900</v>
      </c>
      <c r="C4" s="3">
        <v>4572170605718</v>
      </c>
      <c r="D4" s="3">
        <v>1.28857723332207E+16</v>
      </c>
      <c r="E4" s="3">
        <v>169731023878303</v>
      </c>
      <c r="F4" s="3">
        <v>8620323023481470</v>
      </c>
      <c r="G4" s="3">
        <v>5636926569006</v>
      </c>
      <c r="H4" s="3">
        <v>3.73293962409228E+16</v>
      </c>
      <c r="I4" s="3">
        <v>5930352525289</v>
      </c>
      <c r="J4" s="3">
        <v>3834073826835</v>
      </c>
      <c r="K4" s="3">
        <v>4785170025804</v>
      </c>
      <c r="L4" s="3">
        <v>12541273594801</v>
      </c>
      <c r="M4" s="3">
        <v>4048602326494</v>
      </c>
      <c r="N4" s="3">
        <v>200127066203</v>
      </c>
      <c r="O4" s="3">
        <v>21031782489691</v>
      </c>
    </row>
    <row r="5" spans="1:15">
      <c r="A5" s="2" t="s">
        <v>45</v>
      </c>
      <c r="B5">
        <v>250605727320588</v>
      </c>
      <c r="C5" s="3">
        <v>296306243509</v>
      </c>
      <c r="E5" s="3">
        <v>163229291422246</v>
      </c>
      <c r="F5" s="3">
        <v>8662349419767200</v>
      </c>
      <c r="G5" s="3">
        <v>5637879515902</v>
      </c>
      <c r="I5" s="3">
        <v>5707970751442</v>
      </c>
      <c r="J5" s="3">
        <v>4459516143911</v>
      </c>
      <c r="K5" s="3">
        <v>4456513122954</v>
      </c>
      <c r="L5" s="3">
        <v>10133398009257</v>
      </c>
      <c r="M5" s="3">
        <v>3162126641334</v>
      </c>
      <c r="N5" s="3">
        <v>49212447523</v>
      </c>
      <c r="O5" s="3">
        <v>21304279183721</v>
      </c>
    </row>
    <row r="6" spans="1:15">
      <c r="I6">
        <f>I5/I4</f>
        <v>0.96250108692549219</v>
      </c>
      <c r="J6">
        <f>J5/J4</f>
        <v>1.163127353651481</v>
      </c>
      <c r="K6">
        <f t="shared" ref="K6:N6" si="0">K5/K4</f>
        <v>0.9313176123151905</v>
      </c>
      <c r="L6">
        <f t="shared" si="0"/>
        <v>0.80800390268639166</v>
      </c>
      <c r="M6">
        <f t="shared" si="0"/>
        <v>0.78104155121412766</v>
      </c>
      <c r="N6">
        <f t="shared" si="0"/>
        <v>0.24590600590267525</v>
      </c>
    </row>
    <row r="7" spans="1:15">
      <c r="B7">
        <f>B3/B2</f>
        <v>0.94360238073865887</v>
      </c>
      <c r="C7">
        <f t="shared" ref="C7:O7" si="1">C3/C2</f>
        <v>0.98822248102814936</v>
      </c>
      <c r="D7">
        <f t="shared" si="1"/>
        <v>0.99989606342229664</v>
      </c>
      <c r="E7">
        <f t="shared" si="1"/>
        <v>1.0012458318843853</v>
      </c>
      <c r="F7">
        <f t="shared" si="1"/>
        <v>0.97331431667007073</v>
      </c>
      <c r="G7">
        <f t="shared" si="1"/>
        <v>0.99915723982995297</v>
      </c>
      <c r="H7">
        <f t="shared" si="1"/>
        <v>0.9072644929108018</v>
      </c>
      <c r="I7">
        <f t="shared" si="1"/>
        <v>0.99709448687271451</v>
      </c>
      <c r="J7">
        <f t="shared" si="1"/>
        <v>0.85606363750828063</v>
      </c>
      <c r="K7">
        <f t="shared" si="1"/>
        <v>0.98156031455328074</v>
      </c>
      <c r="L7">
        <f t="shared" si="1"/>
        <v>0.98483115005678479</v>
      </c>
      <c r="M7">
        <f t="shared" si="1"/>
        <v>0.98148897601236329</v>
      </c>
      <c r="N7">
        <f t="shared" si="1"/>
        <v>0.99999092622723562</v>
      </c>
      <c r="O7">
        <f t="shared" si="1"/>
        <v>0.93425024195857675</v>
      </c>
    </row>
    <row r="8" spans="1:15">
      <c r="B8">
        <f>B4/B2</f>
        <v>0.94205624588144388</v>
      </c>
      <c r="C8">
        <f t="shared" ref="C8:O8" si="2">C4/C2</f>
        <v>0.98822248102814936</v>
      </c>
      <c r="D8">
        <f t="shared" si="2"/>
        <v>0.99996374692079615</v>
      </c>
      <c r="E8">
        <f t="shared" si="2"/>
        <v>0.99945565920548229</v>
      </c>
      <c r="F8">
        <f t="shared" si="2"/>
        <v>0.97331695801933005</v>
      </c>
      <c r="G8">
        <f t="shared" si="2"/>
        <v>0.99915723982995297</v>
      </c>
      <c r="H8">
        <f t="shared" si="2"/>
        <v>0.90723867278174841</v>
      </c>
      <c r="I8">
        <f t="shared" si="2"/>
        <v>0.9966582893861553</v>
      </c>
      <c r="J8">
        <f t="shared" si="2"/>
        <v>0.88584719448289495</v>
      </c>
      <c r="K8">
        <f t="shared" si="2"/>
        <v>0.98091763579209557</v>
      </c>
      <c r="L8">
        <f t="shared" si="2"/>
        <v>0.98094422483603561</v>
      </c>
      <c r="M8">
        <f t="shared" si="2"/>
        <v>0.98045166716098298</v>
      </c>
      <c r="N8">
        <f t="shared" si="2"/>
        <v>0.99999092622723562</v>
      </c>
      <c r="O8">
        <f t="shared" si="2"/>
        <v>0.93382093045057468</v>
      </c>
    </row>
    <row r="9" spans="1:15">
      <c r="B9">
        <f>B5/B2</f>
        <v>0.61075366686881127</v>
      </c>
      <c r="C9">
        <f t="shared" ref="C9:O9" si="3">C5/C2</f>
        <v>6.4043211934916841E-2</v>
      </c>
      <c r="D9">
        <f t="shared" si="3"/>
        <v>0</v>
      </c>
      <c r="E9">
        <f t="shared" si="3"/>
        <v>0.96117041736009445</v>
      </c>
      <c r="F9">
        <f t="shared" si="3"/>
        <v>0.97806214031446193</v>
      </c>
      <c r="G9">
        <f t="shared" si="3"/>
        <v>0.99932615169684635</v>
      </c>
      <c r="H9">
        <f t="shared" si="3"/>
        <v>0</v>
      </c>
      <c r="I9">
        <f t="shared" si="3"/>
        <v>0.95928468682747625</v>
      </c>
      <c r="J9">
        <f t="shared" si="3"/>
        <v>1.0303531030584785</v>
      </c>
      <c r="K9">
        <f t="shared" si="3"/>
        <v>0.91354587044375613</v>
      </c>
      <c r="L9">
        <f t="shared" si="3"/>
        <v>0.79260676198519397</v>
      </c>
      <c r="M9">
        <f t="shared" si="3"/>
        <v>0.76577349100989178</v>
      </c>
      <c r="N9">
        <f t="shared" si="3"/>
        <v>0.2459037746074563</v>
      </c>
      <c r="O9">
        <f t="shared" si="3"/>
        <v>0.9459199104817978</v>
      </c>
    </row>
    <row r="11" spans="1:15">
      <c r="B11" t="s">
        <v>13</v>
      </c>
      <c r="C11" s="5" t="s">
        <v>14</v>
      </c>
      <c r="D11" s="6" t="s">
        <v>16</v>
      </c>
      <c r="F11" t="s">
        <v>20</v>
      </c>
      <c r="G11" t="s">
        <v>22</v>
      </c>
      <c r="H11" s="5" t="s">
        <v>23</v>
      </c>
      <c r="I11" s="5" t="s">
        <v>24</v>
      </c>
      <c r="J11" s="5" t="s">
        <v>25</v>
      </c>
    </row>
    <row r="12" spans="1:15">
      <c r="A12" s="2" t="s">
        <v>42</v>
      </c>
      <c r="B12">
        <v>410322100242777</v>
      </c>
      <c r="C12" s="3">
        <v>4626661195727</v>
      </c>
      <c r="D12" s="3">
        <v>169823465718560</v>
      </c>
      <c r="F12" s="3">
        <v>5950236493735</v>
      </c>
      <c r="G12" s="3">
        <v>4878258735699</v>
      </c>
      <c r="H12" s="3">
        <v>12784899770318</v>
      </c>
      <c r="I12" s="3">
        <v>4129323720992</v>
      </c>
      <c r="J12" s="3">
        <v>200128882127</v>
      </c>
      <c r="K12" s="3"/>
    </row>
    <row r="13" spans="1:15">
      <c r="A13" s="2" t="s">
        <v>43</v>
      </c>
      <c r="B13" s="3">
        <v>387180910658771</v>
      </c>
      <c r="C13" s="3">
        <v>4572170605718</v>
      </c>
      <c r="D13" s="3">
        <v>170035037206869</v>
      </c>
      <c r="F13" s="3">
        <v>5932948003492</v>
      </c>
      <c r="G13" s="3">
        <v>4788305179085</v>
      </c>
      <c r="H13" s="3">
        <v>12590967544163</v>
      </c>
      <c r="I13" s="3">
        <v>4052885710540</v>
      </c>
      <c r="J13" s="3">
        <v>200127066203</v>
      </c>
      <c r="K13" s="3"/>
    </row>
    <row r="14" spans="1:15">
      <c r="A14" s="2" t="s">
        <v>44</v>
      </c>
      <c r="B14" s="3">
        <v>386546497356900</v>
      </c>
      <c r="C14" s="3">
        <v>4572170605718</v>
      </c>
      <c r="D14" s="3">
        <v>169731023878303</v>
      </c>
      <c r="F14" s="3">
        <v>5930352525289</v>
      </c>
      <c r="G14" s="3">
        <v>4785170025804</v>
      </c>
      <c r="H14" s="3">
        <v>12541273594801</v>
      </c>
      <c r="I14" s="3">
        <v>4048602326494</v>
      </c>
      <c r="J14" s="3">
        <v>200127066203</v>
      </c>
      <c r="K14" s="3"/>
    </row>
    <row r="15" spans="1:15">
      <c r="A15" s="2" t="s">
        <v>45</v>
      </c>
      <c r="B15">
        <v>250605727320588</v>
      </c>
      <c r="C15" s="3">
        <v>296306243509</v>
      </c>
      <c r="D15" s="3">
        <v>163229291422246</v>
      </c>
      <c r="F15" s="3">
        <v>5707970751442</v>
      </c>
      <c r="G15" s="3">
        <v>4456513122954</v>
      </c>
      <c r="H15" s="3">
        <v>10133398009257</v>
      </c>
      <c r="I15" s="3">
        <v>3162126641334</v>
      </c>
      <c r="J15" s="3">
        <v>49212447523</v>
      </c>
      <c r="K15" s="3"/>
    </row>
    <row r="17" spans="2:10">
      <c r="B17">
        <f>B13/B12</f>
        <v>0.94360238073865887</v>
      </c>
      <c r="C17">
        <f t="shared" ref="C17:D17" si="4">C13/C12</f>
        <v>0.98822248102814936</v>
      </c>
      <c r="D17">
        <f t="shared" si="4"/>
        <v>1.0012458318843853</v>
      </c>
      <c r="F17">
        <f t="shared" ref="F17:J17" si="5">F13/F12</f>
        <v>0.99709448687271451</v>
      </c>
      <c r="G17">
        <f t="shared" si="5"/>
        <v>0.98156031455328074</v>
      </c>
      <c r="H17">
        <f t="shared" si="5"/>
        <v>0.98483115005678479</v>
      </c>
      <c r="I17">
        <f t="shared" si="5"/>
        <v>0.98148897601236329</v>
      </c>
      <c r="J17">
        <f t="shared" si="5"/>
        <v>0.99999092622723562</v>
      </c>
    </row>
    <row r="18" spans="2:10">
      <c r="B18">
        <f>B14/B12</f>
        <v>0.94205624588144388</v>
      </c>
      <c r="C18">
        <f t="shared" ref="C18:D18" si="6">C14/C12</f>
        <v>0.98822248102814936</v>
      </c>
      <c r="D18">
        <f t="shared" si="6"/>
        <v>0.99945565920548229</v>
      </c>
      <c r="F18">
        <f t="shared" ref="F18:J18" si="7">F14/F12</f>
        <v>0.9966582893861553</v>
      </c>
      <c r="G18">
        <f t="shared" si="7"/>
        <v>0.98091763579209557</v>
      </c>
      <c r="H18">
        <f t="shared" si="7"/>
        <v>0.98094422483603561</v>
      </c>
      <c r="I18">
        <f t="shared" si="7"/>
        <v>0.98045166716098298</v>
      </c>
      <c r="J18">
        <f t="shared" si="7"/>
        <v>0.99999092622723562</v>
      </c>
    </row>
    <row r="19" spans="2:10">
      <c r="B19">
        <f>B15/B12</f>
        <v>0.61075366686881127</v>
      </c>
      <c r="C19">
        <f t="shared" ref="C19:D19" si="8">C15/C12</f>
        <v>6.4043211934916841E-2</v>
      </c>
      <c r="D19">
        <f t="shared" si="8"/>
        <v>0.96117041736009445</v>
      </c>
      <c r="F19">
        <f t="shared" ref="F19:J19" si="9">F15/F12</f>
        <v>0.95928468682747625</v>
      </c>
      <c r="G19">
        <f t="shared" si="9"/>
        <v>0.91354587044375613</v>
      </c>
      <c r="H19">
        <f t="shared" si="9"/>
        <v>0.79260676198519397</v>
      </c>
      <c r="I19">
        <f t="shared" si="9"/>
        <v>0.76577349100989178</v>
      </c>
      <c r="J19">
        <f t="shared" si="9"/>
        <v>0.2459037746074563</v>
      </c>
    </row>
  </sheetData>
  <phoneticPr fontId="3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6"/>
  <sheetViews>
    <sheetView workbookViewId="0">
      <selection activeCell="J8" sqref="B8:J8"/>
    </sheetView>
  </sheetViews>
  <sheetFormatPr defaultColWidth="9" defaultRowHeight="14"/>
  <cols>
    <col min="2" max="2" width="12.36328125" bestFit="1" customWidth="1"/>
    <col min="3" max="6" width="13.54296875" bestFit="1" customWidth="1"/>
    <col min="7" max="7" width="12.36328125" bestFit="1" customWidth="1"/>
    <col min="8" max="10" width="13.54296875" bestFit="1" customWidth="1"/>
    <col min="12" max="12" width="12.36328125" bestFit="1" customWidth="1"/>
    <col min="13" max="13" width="13.54296875" bestFit="1" customWidth="1"/>
  </cols>
  <sheetData>
    <row r="1" spans="1:13">
      <c r="B1" t="s">
        <v>27</v>
      </c>
      <c r="C1">
        <v>112</v>
      </c>
      <c r="D1" t="s">
        <v>28</v>
      </c>
      <c r="E1">
        <v>121</v>
      </c>
      <c r="F1" t="s">
        <v>29</v>
      </c>
      <c r="G1" s="4">
        <v>188</v>
      </c>
      <c r="H1">
        <v>206</v>
      </c>
      <c r="I1" s="4">
        <v>373</v>
      </c>
      <c r="J1" s="4">
        <v>735</v>
      </c>
      <c r="K1" s="4" t="s">
        <v>46</v>
      </c>
      <c r="L1">
        <v>14</v>
      </c>
      <c r="M1" s="4">
        <v>624</v>
      </c>
    </row>
    <row r="2" spans="1:13">
      <c r="A2" s="2" t="s">
        <v>42</v>
      </c>
      <c r="B2" s="3">
        <v>413196910340</v>
      </c>
      <c r="C2" s="3">
        <v>726911134050</v>
      </c>
      <c r="D2" s="3">
        <v>16572418987055</v>
      </c>
      <c r="E2" s="3">
        <v>766895763950</v>
      </c>
      <c r="F2" s="3">
        <v>626921419495</v>
      </c>
      <c r="G2" s="3">
        <v>661993739445</v>
      </c>
      <c r="H2" s="3">
        <v>1227843471565</v>
      </c>
      <c r="I2" s="3">
        <v>583965861100</v>
      </c>
      <c r="J2" s="3">
        <v>398335913460</v>
      </c>
      <c r="K2" s="3">
        <v>63824264403450</v>
      </c>
      <c r="L2" s="3">
        <v>2671357029485</v>
      </c>
      <c r="M2" s="3">
        <v>277192666830</v>
      </c>
    </row>
    <row r="3" spans="1:13">
      <c r="A3" s="2" t="s">
        <v>43</v>
      </c>
      <c r="B3" s="3">
        <v>394659945685</v>
      </c>
      <c r="C3" s="3">
        <v>722934320520</v>
      </c>
      <c r="D3" s="3">
        <v>14138943487535</v>
      </c>
      <c r="E3" s="3">
        <v>732125068025</v>
      </c>
      <c r="F3" s="3">
        <v>604824525435</v>
      </c>
      <c r="G3" s="3">
        <v>662770485770</v>
      </c>
      <c r="H3" s="3">
        <v>1224389713035</v>
      </c>
      <c r="I3" s="3">
        <v>583973949805</v>
      </c>
      <c r="J3" s="3">
        <v>398956893450</v>
      </c>
      <c r="L3" s="3">
        <v>2463498739665</v>
      </c>
      <c r="M3" s="3">
        <v>278382155025</v>
      </c>
    </row>
    <row r="4" spans="1:13">
      <c r="A4" s="2" t="s">
        <v>44</v>
      </c>
      <c r="B4" s="3">
        <v>391787268820</v>
      </c>
      <c r="C4" s="3">
        <v>715529911225</v>
      </c>
      <c r="D4" s="3">
        <v>14108475816210</v>
      </c>
      <c r="E4" s="3">
        <v>716588520655</v>
      </c>
      <c r="F4" s="3">
        <v>600516155180</v>
      </c>
      <c r="G4" s="3">
        <v>660514193940</v>
      </c>
      <c r="H4" s="3">
        <v>1220710745005</v>
      </c>
      <c r="I4" s="3">
        <v>583610999375</v>
      </c>
      <c r="J4" s="3">
        <v>397932461365</v>
      </c>
      <c r="L4" s="3">
        <v>2445370215575</v>
      </c>
      <c r="M4" s="3">
        <v>275706892895</v>
      </c>
    </row>
    <row r="5" spans="1:13">
      <c r="A5" s="2" t="s">
        <v>45</v>
      </c>
      <c r="B5" s="3">
        <v>407806139335</v>
      </c>
      <c r="C5" s="3">
        <v>717637402720</v>
      </c>
      <c r="D5" s="3">
        <v>16582321324310</v>
      </c>
      <c r="E5" s="3">
        <v>762245511285</v>
      </c>
      <c r="F5" s="3">
        <v>626961478060</v>
      </c>
      <c r="H5" s="3">
        <v>1222321504375</v>
      </c>
      <c r="J5" s="3">
        <v>325862735705</v>
      </c>
      <c r="L5" s="3">
        <v>2671288537915</v>
      </c>
      <c r="M5" s="3">
        <v>276252260440</v>
      </c>
    </row>
    <row r="6" spans="1:13">
      <c r="B6">
        <f>B3/B2</f>
        <v>0.95513769781156688</v>
      </c>
      <c r="C6">
        <f t="shared" ref="C6:M6" si="0">C3/C2</f>
        <v>0.99452916134625269</v>
      </c>
      <c r="D6">
        <f t="shared" si="0"/>
        <v>0.85316111658649052</v>
      </c>
      <c r="E6">
        <f t="shared" si="0"/>
        <v>0.95466046683331662</v>
      </c>
      <c r="F6">
        <f t="shared" si="0"/>
        <v>0.96475332733438979</v>
      </c>
      <c r="G6">
        <f t="shared" si="0"/>
        <v>1.001173343913571</v>
      </c>
      <c r="H6">
        <f t="shared" si="0"/>
        <v>0.99718713450860486</v>
      </c>
      <c r="I6">
        <f t="shared" si="0"/>
        <v>1.0000138513319679</v>
      </c>
      <c r="J6">
        <f t="shared" si="0"/>
        <v>1.0015589354838887</v>
      </c>
      <c r="K6">
        <f t="shared" si="0"/>
        <v>0</v>
      </c>
      <c r="L6">
        <f t="shared" si="0"/>
        <v>0.92219000024116127</v>
      </c>
      <c r="M6">
        <f t="shared" si="0"/>
        <v>1.0042911964757333</v>
      </c>
    </row>
    <row r="7" spans="1:13">
      <c r="B7">
        <f>B4/B2</f>
        <v>0.94818537848605156</v>
      </c>
      <c r="C7">
        <f t="shared" ref="C7:M7" si="1">C4/C2</f>
        <v>0.98434303411809188</v>
      </c>
      <c r="D7">
        <f t="shared" si="1"/>
        <v>0.85132266009146718</v>
      </c>
      <c r="E7">
        <f t="shared" si="1"/>
        <v>0.93440145889464066</v>
      </c>
      <c r="F7">
        <f t="shared" si="1"/>
        <v>0.95788106213332114</v>
      </c>
      <c r="G7">
        <f t="shared" si="1"/>
        <v>0.99776501586519473</v>
      </c>
      <c r="H7">
        <f t="shared" si="1"/>
        <v>0.99419085027922272</v>
      </c>
      <c r="I7">
        <f t="shared" si="1"/>
        <v>0.99939232453703453</v>
      </c>
      <c r="J7">
        <f t="shared" si="1"/>
        <v>0.99898715611280042</v>
      </c>
      <c r="K7">
        <f t="shared" si="1"/>
        <v>0</v>
      </c>
      <c r="L7">
        <f t="shared" si="1"/>
        <v>0.91540373996598756</v>
      </c>
      <c r="M7">
        <f t="shared" si="1"/>
        <v>0.99463992337174201</v>
      </c>
    </row>
    <row r="8" spans="1:13">
      <c r="B8">
        <f t="shared" ref="B8:I8" si="2">B5/B2</f>
        <v>0.98695350601589882</v>
      </c>
      <c r="C8">
        <f t="shared" si="2"/>
        <v>0.98724227639996209</v>
      </c>
      <c r="D8">
        <f t="shared" si="2"/>
        <v>1.0005975191227505</v>
      </c>
      <c r="E8">
        <f t="shared" si="2"/>
        <v>0.99393626502636001</v>
      </c>
      <c r="F8">
        <f t="shared" si="2"/>
        <v>1.0000638972664744</v>
      </c>
      <c r="G8">
        <f t="shared" si="2"/>
        <v>0</v>
      </c>
      <c r="H8">
        <f t="shared" si="2"/>
        <v>0.99550271079508068</v>
      </c>
      <c r="I8">
        <f t="shared" si="2"/>
        <v>0</v>
      </c>
      <c r="J8">
        <f>J5/J2</f>
        <v>0.81806014645908243</v>
      </c>
      <c r="K8">
        <f t="shared" ref="K8:M8" si="3">K5/K2</f>
        <v>0</v>
      </c>
      <c r="L8">
        <f t="shared" si="3"/>
        <v>0.9999743607577557</v>
      </c>
      <c r="M8">
        <f t="shared" si="3"/>
        <v>0.99660739080598859</v>
      </c>
    </row>
    <row r="9" spans="1:13">
      <c r="B9" s="5" t="s">
        <v>27</v>
      </c>
      <c r="C9">
        <v>112</v>
      </c>
      <c r="D9" s="5" t="s">
        <v>28</v>
      </c>
      <c r="E9" s="5">
        <v>121</v>
      </c>
      <c r="F9" s="5" t="s">
        <v>29</v>
      </c>
      <c r="G9">
        <v>206</v>
      </c>
      <c r="H9" s="5">
        <v>14</v>
      </c>
      <c r="I9" s="4">
        <v>735</v>
      </c>
    </row>
    <row r="10" spans="1:13">
      <c r="B10" s="3">
        <v>413196910340</v>
      </c>
      <c r="C10" s="3">
        <v>726911134050</v>
      </c>
      <c r="D10" s="3">
        <v>16572418987055</v>
      </c>
      <c r="E10" s="3">
        <v>766895763950</v>
      </c>
      <c r="F10" s="3">
        <v>626921419495</v>
      </c>
      <c r="G10" s="3">
        <v>1227843471565</v>
      </c>
      <c r="H10" s="3">
        <v>2671357029485</v>
      </c>
      <c r="I10" s="3">
        <v>398335913460</v>
      </c>
    </row>
    <row r="11" spans="1:13">
      <c r="B11" s="3">
        <v>394659945685</v>
      </c>
      <c r="C11" s="3">
        <v>722934320520</v>
      </c>
      <c r="D11" s="3">
        <v>14138943487535</v>
      </c>
      <c r="E11" s="3">
        <v>732125068025</v>
      </c>
      <c r="F11" s="3">
        <v>604824525435</v>
      </c>
      <c r="G11" s="3">
        <v>1224389713035</v>
      </c>
      <c r="H11" s="3">
        <v>2463498739665</v>
      </c>
      <c r="I11" s="3">
        <v>398956893450</v>
      </c>
    </row>
    <row r="12" spans="1:13">
      <c r="B12" s="3">
        <v>391787268820</v>
      </c>
      <c r="C12" s="3">
        <v>715529911225</v>
      </c>
      <c r="D12" s="3">
        <v>14108475816210</v>
      </c>
      <c r="E12" s="3">
        <v>716588520655</v>
      </c>
      <c r="F12" s="3">
        <v>600516155180</v>
      </c>
      <c r="G12" s="3">
        <v>1220710745005</v>
      </c>
      <c r="H12" s="3">
        <v>2445370215575</v>
      </c>
      <c r="I12" s="3">
        <v>397932461365</v>
      </c>
      <c r="J12" s="3">
        <v>314274520815</v>
      </c>
    </row>
    <row r="13" spans="1:13">
      <c r="I13" s="3">
        <v>325862735705</v>
      </c>
    </row>
    <row r="14" spans="1:13">
      <c r="B14">
        <f>B11/B10</f>
        <v>0.95513769781156688</v>
      </c>
      <c r="C14">
        <f t="shared" ref="C14" si="4">C11/C10</f>
        <v>0.99452916134625269</v>
      </c>
      <c r="D14">
        <f t="shared" ref="D14" si="5">D11/D10</f>
        <v>0.85316111658649052</v>
      </c>
      <c r="E14">
        <f t="shared" ref="E14" si="6">E11/E10</f>
        <v>0.95466046683331662</v>
      </c>
      <c r="F14">
        <f t="shared" ref="F14" si="7">F11/F10</f>
        <v>0.96475332733438979</v>
      </c>
      <c r="G14">
        <f t="shared" ref="G14" si="8">G11/G10</f>
        <v>0.99718713450860486</v>
      </c>
      <c r="H14">
        <f>H11/H10</f>
        <v>0.92219000024116127</v>
      </c>
      <c r="I14">
        <f t="shared" ref="I14" si="9">I11/I10</f>
        <v>1.0015589354838887</v>
      </c>
    </row>
    <row r="15" spans="1:13">
      <c r="B15">
        <f>B12/B10</f>
        <v>0.94818537848605156</v>
      </c>
      <c r="C15">
        <f t="shared" ref="C15" si="10">C12/C10</f>
        <v>0.98434303411809188</v>
      </c>
      <c r="D15">
        <f t="shared" ref="D15" si="11">D12/D10</f>
        <v>0.85132266009146718</v>
      </c>
      <c r="E15">
        <f t="shared" ref="E15" si="12">E12/E10</f>
        <v>0.93440145889464066</v>
      </c>
      <c r="F15">
        <f t="shared" ref="F15" si="13">F12/F10</f>
        <v>0.95788106213332114</v>
      </c>
      <c r="G15">
        <f t="shared" ref="G15" si="14">G12/G10</f>
        <v>0.99419085027922272</v>
      </c>
      <c r="H15">
        <f t="shared" ref="H15:I15" si="15">H12/H10</f>
        <v>0.91540373996598756</v>
      </c>
      <c r="I15">
        <f t="shared" si="15"/>
        <v>0.99898715611280042</v>
      </c>
    </row>
    <row r="16" spans="1:13">
      <c r="I16">
        <f>I13/I10</f>
        <v>0.81806014645908243</v>
      </c>
    </row>
  </sheetData>
  <phoneticPr fontId="3" type="noConversion"/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3D0032-5F49-4062-9FBC-31AA2DEE7FA8}">
  <dimension ref="A1:L19"/>
  <sheetViews>
    <sheetView workbookViewId="0">
      <selection activeCell="C11" sqref="C11:E11"/>
    </sheetView>
  </sheetViews>
  <sheetFormatPr defaultRowHeight="14"/>
  <cols>
    <col min="2" max="3" width="14.6328125" bestFit="1" customWidth="1"/>
    <col min="4" max="11" width="10.26953125" bestFit="1" customWidth="1"/>
    <col min="12" max="12" width="13.54296875" bestFit="1" customWidth="1"/>
  </cols>
  <sheetData>
    <row r="1" spans="1:12">
      <c r="A1" s="2"/>
      <c r="B1" s="2" t="s">
        <v>57</v>
      </c>
      <c r="C1" s="2" t="s">
        <v>47</v>
      </c>
      <c r="D1" s="2" t="s">
        <v>48</v>
      </c>
      <c r="E1" s="2" t="s">
        <v>49</v>
      </c>
      <c r="F1" s="2" t="s">
        <v>50</v>
      </c>
      <c r="G1" s="2" t="s">
        <v>51</v>
      </c>
      <c r="H1" s="2" t="s">
        <v>52</v>
      </c>
      <c r="I1" s="2" t="s">
        <v>53</v>
      </c>
      <c r="J1" s="2" t="s">
        <v>54</v>
      </c>
      <c r="K1" s="2" t="s">
        <v>55</v>
      </c>
      <c r="L1" s="2" t="s">
        <v>56</v>
      </c>
    </row>
    <row r="2" spans="1:12">
      <c r="A2" s="2" t="s">
        <v>42</v>
      </c>
      <c r="B2" s="3">
        <v>6810545191156</v>
      </c>
      <c r="C2" s="3">
        <v>19140848170523</v>
      </c>
      <c r="D2" s="3">
        <v>7313536062722</v>
      </c>
      <c r="E2" s="3">
        <v>1296669134547</v>
      </c>
      <c r="F2" s="3">
        <v>1355755107964</v>
      </c>
      <c r="G2" s="3">
        <v>1627111784349</v>
      </c>
      <c r="H2" s="3">
        <v>1523327148903</v>
      </c>
      <c r="I2" s="3">
        <v>2388140183239</v>
      </c>
      <c r="J2" s="3">
        <v>2086678684373</v>
      </c>
      <c r="K2" s="3">
        <v>3822123855983</v>
      </c>
      <c r="L2" s="3">
        <v>3775701602734</v>
      </c>
    </row>
    <row r="3" spans="1:12">
      <c r="A3" s="2" t="s">
        <v>43</v>
      </c>
      <c r="B3" s="3">
        <v>6817304246572</v>
      </c>
      <c r="C3" s="3">
        <v>19100714385539</v>
      </c>
      <c r="D3" s="3">
        <v>7284057506412</v>
      </c>
      <c r="E3" s="3">
        <v>1294644767952</v>
      </c>
      <c r="F3" s="3">
        <v>1357326067869</v>
      </c>
      <c r="G3" s="3">
        <v>1626544082053</v>
      </c>
      <c r="H3" s="3">
        <v>1519871830650</v>
      </c>
      <c r="I3" s="3">
        <v>2372999933414</v>
      </c>
      <c r="J3" s="3">
        <v>2075898828108</v>
      </c>
      <c r="K3" s="3">
        <v>3629104372375</v>
      </c>
      <c r="L3" s="3">
        <v>3765275158563</v>
      </c>
    </row>
    <row r="4" spans="1:12">
      <c r="A4" s="2" t="s">
        <v>44</v>
      </c>
      <c r="B4" s="3">
        <v>6802507492197</v>
      </c>
      <c r="C4" s="3">
        <v>19089045598384</v>
      </c>
      <c r="D4" s="3">
        <v>7285449474863</v>
      </c>
      <c r="E4" s="3">
        <v>1293197286691</v>
      </c>
      <c r="F4" s="3">
        <v>1356724103860</v>
      </c>
      <c r="G4" s="3">
        <v>1623691576061</v>
      </c>
      <c r="H4" s="3">
        <v>1519651016449</v>
      </c>
      <c r="I4" s="3">
        <v>2374942344408</v>
      </c>
      <c r="J4" s="3">
        <v>2072014611490</v>
      </c>
      <c r="K4" s="3">
        <v>3628475257838</v>
      </c>
      <c r="L4" s="3">
        <v>3763984229015</v>
      </c>
    </row>
    <row r="5" spans="1:12">
      <c r="A5" s="2" t="s">
        <v>45</v>
      </c>
      <c r="B5" s="3">
        <v>6496565591781</v>
      </c>
      <c r="C5" s="3">
        <v>16899060858026</v>
      </c>
      <c r="D5" s="3">
        <v>6942013775296</v>
      </c>
      <c r="E5" s="3">
        <v>1211561196720</v>
      </c>
      <c r="F5" s="3">
        <v>1271523988632</v>
      </c>
      <c r="G5" s="3">
        <v>1543966495912</v>
      </c>
      <c r="H5" s="3">
        <v>1427416161072</v>
      </c>
      <c r="I5" s="3">
        <v>2255628773427</v>
      </c>
      <c r="J5" s="3">
        <v>1910429239371</v>
      </c>
      <c r="K5" s="3">
        <v>3382050270345</v>
      </c>
      <c r="L5" s="3">
        <v>3650110741993</v>
      </c>
    </row>
    <row r="7" spans="1:12">
      <c r="B7">
        <f>B3/B2</f>
        <v>1.0009924396984806</v>
      </c>
      <c r="C7">
        <f t="shared" ref="C7:L7" si="0">C3/C2</f>
        <v>0.99790323894602506</v>
      </c>
      <c r="D7">
        <f t="shared" si="0"/>
        <v>0.99596931551889711</v>
      </c>
      <c r="E7">
        <f t="shared" si="0"/>
        <v>0.99843879480041209</v>
      </c>
      <c r="F7">
        <f t="shared" si="0"/>
        <v>1.0011587342697599</v>
      </c>
      <c r="G7">
        <f t="shared" si="0"/>
        <v>0.99965109815965891</v>
      </c>
      <c r="H7">
        <f t="shared" si="0"/>
        <v>0.9977317293560426</v>
      </c>
      <c r="I7">
        <f t="shared" si="0"/>
        <v>0.99366023404687009</v>
      </c>
      <c r="J7">
        <f t="shared" si="0"/>
        <v>0.9948339644499512</v>
      </c>
      <c r="K7">
        <f t="shared" si="0"/>
        <v>0.94949941684755845</v>
      </c>
      <c r="L7">
        <f t="shared" si="0"/>
        <v>0.99723854126516509</v>
      </c>
    </row>
    <row r="8" spans="1:12">
      <c r="B8">
        <f>B4/B2</f>
        <v>0.9988198156339323</v>
      </c>
      <c r="C8">
        <f t="shared" ref="C8:L8" si="1">C4/C2</f>
        <v>0.99729361145976925</v>
      </c>
      <c r="D8">
        <f t="shared" si="1"/>
        <v>0.99615964321251371</v>
      </c>
      <c r="E8">
        <f t="shared" si="1"/>
        <v>0.99732248746923946</v>
      </c>
      <c r="F8">
        <f t="shared" si="1"/>
        <v>1.0007147278223831</v>
      </c>
      <c r="G8">
        <f t="shared" si="1"/>
        <v>0.99789798812786035</v>
      </c>
      <c r="H8">
        <f t="shared" si="1"/>
        <v>0.99758677414982899</v>
      </c>
      <c r="I8">
        <f t="shared" si="1"/>
        <v>0.99447359123906198</v>
      </c>
      <c r="J8">
        <f t="shared" si="1"/>
        <v>0.99297252950690573</v>
      </c>
      <c r="K8">
        <f t="shared" si="1"/>
        <v>0.94933481869200287</v>
      </c>
      <c r="L8">
        <f t="shared" si="1"/>
        <v>0.99689663671765916</v>
      </c>
    </row>
    <row r="9" spans="1:12">
      <c r="B9">
        <f>B5/B2</f>
        <v>0.95389802276288749</v>
      </c>
      <c r="C9">
        <f t="shared" ref="C9:L9" si="2">C5/C2</f>
        <v>0.88287941618233179</v>
      </c>
      <c r="D9">
        <f t="shared" si="2"/>
        <v>0.9492007307764988</v>
      </c>
      <c r="E9">
        <f t="shared" si="2"/>
        <v>0.93436418315244851</v>
      </c>
      <c r="F9">
        <f t="shared" si="2"/>
        <v>0.93787143501270387</v>
      </c>
      <c r="G9">
        <f t="shared" si="2"/>
        <v>0.94890007605084981</v>
      </c>
      <c r="H9">
        <f t="shared" si="2"/>
        <v>0.9370384832305596</v>
      </c>
      <c r="I9">
        <f t="shared" si="2"/>
        <v>0.94451271715872365</v>
      </c>
      <c r="J9">
        <f t="shared" si="2"/>
        <v>0.91553589619622777</v>
      </c>
      <c r="K9">
        <f t="shared" si="2"/>
        <v>0.88486150574395273</v>
      </c>
      <c r="L9">
        <f t="shared" si="2"/>
        <v>0.96673707989792967</v>
      </c>
    </row>
    <row r="11" spans="1:12">
      <c r="C11" s="2" t="s">
        <v>47</v>
      </c>
      <c r="D11" s="2" t="s">
        <v>54</v>
      </c>
      <c r="E11" s="2" t="s">
        <v>55</v>
      </c>
    </row>
    <row r="12" spans="1:12">
      <c r="C12" s="3">
        <v>19140848170523</v>
      </c>
      <c r="D12" s="3">
        <v>2086678684373</v>
      </c>
      <c r="E12" s="3">
        <v>3822123855983</v>
      </c>
    </row>
    <row r="13" spans="1:12">
      <c r="C13" s="3">
        <v>19100714385539</v>
      </c>
      <c r="D13" s="3">
        <v>2075898828108</v>
      </c>
      <c r="E13" s="3">
        <v>3629104372375</v>
      </c>
    </row>
    <row r="14" spans="1:12">
      <c r="C14" s="3">
        <v>19089045598384</v>
      </c>
      <c r="D14" s="3">
        <v>2072014611490</v>
      </c>
      <c r="E14" s="3">
        <v>3628475257838</v>
      </c>
    </row>
    <row r="15" spans="1:12">
      <c r="C15" s="3">
        <v>16899060858026</v>
      </c>
      <c r="D15" s="3">
        <v>1910429239371</v>
      </c>
      <c r="E15" s="3">
        <v>3382050270345</v>
      </c>
    </row>
    <row r="17" spans="3:5">
      <c r="C17">
        <f t="shared" ref="C17" si="3">C13/C12</f>
        <v>0.99790323894602506</v>
      </c>
      <c r="D17">
        <f t="shared" ref="D17" si="4">D13/D12</f>
        <v>0.9948339644499512</v>
      </c>
      <c r="E17">
        <f t="shared" ref="E17" si="5">E13/E12</f>
        <v>0.94949941684755845</v>
      </c>
    </row>
    <row r="18" spans="3:5">
      <c r="C18">
        <f t="shared" ref="C18" si="6">C14/C12</f>
        <v>0.99729361145976925</v>
      </c>
      <c r="D18">
        <f t="shared" ref="D18" si="7">D14/D12</f>
        <v>0.99297252950690573</v>
      </c>
      <c r="E18">
        <f t="shared" ref="E18" si="8">E14/E12</f>
        <v>0.94933481869200287</v>
      </c>
    </row>
    <row r="19" spans="3:5">
      <c r="C19">
        <f t="shared" ref="C19" si="9">C15/C12</f>
        <v>0.88287941618233179</v>
      </c>
      <c r="D19">
        <f t="shared" ref="D19" si="10">D15/D12</f>
        <v>0.91553589619622777</v>
      </c>
      <c r="E19">
        <f t="shared" ref="E19" si="11">E15/E12</f>
        <v>0.88486150574395273</v>
      </c>
    </row>
  </sheetData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C74390-DD15-4A83-B07E-E7F2D6572602}">
  <dimension ref="A1:S106"/>
  <sheetViews>
    <sheetView zoomScale="70" zoomScaleNormal="70" workbookViewId="0">
      <selection activeCell="D19" sqref="D19"/>
    </sheetView>
  </sheetViews>
  <sheetFormatPr defaultRowHeight="14"/>
  <cols>
    <col min="1" max="1" width="20.1796875" customWidth="1"/>
    <col min="2" max="5" width="13.7265625" bestFit="1" customWidth="1"/>
    <col min="6" max="6" width="12" customWidth="1"/>
    <col min="7" max="7" width="13.7265625" bestFit="1" customWidth="1"/>
    <col min="8" max="8" width="10.81640625" customWidth="1"/>
    <col min="9" max="9" width="12.26953125" customWidth="1"/>
    <col min="12" max="12" width="13.54296875" bestFit="1" customWidth="1"/>
    <col min="13" max="17" width="13.7265625" bestFit="1" customWidth="1"/>
    <col min="18" max="18" width="12.54296875" bestFit="1" customWidth="1"/>
    <col min="19" max="19" width="13.7265625" bestFit="1" customWidth="1"/>
  </cols>
  <sheetData>
    <row r="1" spans="1:19">
      <c r="A1" s="2" t="s">
        <v>63</v>
      </c>
      <c r="B1" s="8" t="s">
        <v>58</v>
      </c>
      <c r="C1" s="8" t="s">
        <v>59</v>
      </c>
      <c r="D1" s="8" t="s">
        <v>60</v>
      </c>
      <c r="E1" s="8" t="s">
        <v>61</v>
      </c>
      <c r="F1" s="8" t="s">
        <v>62</v>
      </c>
      <c r="G1" s="8" t="s">
        <v>47</v>
      </c>
      <c r="H1" s="8" t="s">
        <v>54</v>
      </c>
      <c r="I1" s="8" t="s">
        <v>55</v>
      </c>
      <c r="L1" s="8" t="s">
        <v>62</v>
      </c>
      <c r="M1" s="8" t="s">
        <v>59</v>
      </c>
      <c r="N1" s="8" t="s">
        <v>79</v>
      </c>
      <c r="O1" s="8" t="s">
        <v>80</v>
      </c>
      <c r="P1" s="8" t="s">
        <v>81</v>
      </c>
      <c r="Q1" s="8" t="s">
        <v>60</v>
      </c>
      <c r="R1" s="8" t="s">
        <v>58</v>
      </c>
      <c r="S1" s="8" t="s">
        <v>61</v>
      </c>
    </row>
    <row r="2" spans="1:19">
      <c r="A2" s="7" t="s">
        <v>64</v>
      </c>
      <c r="B2" s="7">
        <v>130932084</v>
      </c>
      <c r="C2" s="7">
        <v>7439188</v>
      </c>
      <c r="D2" s="7">
        <v>9360871</v>
      </c>
      <c r="E2" s="7">
        <v>4874756</v>
      </c>
      <c r="F2" s="7">
        <v>189435</v>
      </c>
      <c r="G2" s="7">
        <v>405473</v>
      </c>
      <c r="H2" s="7">
        <v>200336</v>
      </c>
      <c r="I2" s="7">
        <v>275397</v>
      </c>
      <c r="L2" s="7">
        <v>0.98636400000000002</v>
      </c>
      <c r="M2" s="7">
        <v>0.94526600000000005</v>
      </c>
      <c r="N2" s="7">
        <v>0.95926</v>
      </c>
      <c r="O2" s="7">
        <v>0.97409699999999999</v>
      </c>
      <c r="P2" s="7">
        <v>0.89073899999999995</v>
      </c>
      <c r="Q2" s="7">
        <v>0.96160599999999996</v>
      </c>
      <c r="R2" s="7">
        <v>0.87098500000000001</v>
      </c>
      <c r="S2" s="7">
        <v>0.98099899999999995</v>
      </c>
    </row>
    <row r="3" spans="1:19">
      <c r="A3" s="7" t="s">
        <v>65</v>
      </c>
      <c r="B3" s="7">
        <v>87240531</v>
      </c>
      <c r="C3" s="7">
        <v>10748114</v>
      </c>
      <c r="D3" s="7">
        <v>3238436</v>
      </c>
      <c r="E3" s="7">
        <v>3294648</v>
      </c>
      <c r="F3" s="7">
        <v>1085647</v>
      </c>
      <c r="G3" s="7">
        <v>49020612</v>
      </c>
      <c r="H3" s="7">
        <v>5459134</v>
      </c>
      <c r="I3" s="7">
        <v>8141100</v>
      </c>
    </row>
    <row r="4" spans="1:19">
      <c r="A4" s="7" t="s">
        <v>66</v>
      </c>
      <c r="B4" s="7">
        <v>410322100242777</v>
      </c>
      <c r="C4" s="7">
        <v>4626661195727</v>
      </c>
      <c r="D4" s="7">
        <v>12784899770318</v>
      </c>
      <c r="E4" s="7">
        <v>4129323720992</v>
      </c>
      <c r="F4" s="7">
        <v>200128882127</v>
      </c>
      <c r="G4" s="7">
        <v>19140848170523</v>
      </c>
      <c r="H4" s="7">
        <v>2086678684373</v>
      </c>
      <c r="I4" s="7">
        <v>3822123855983</v>
      </c>
    </row>
    <row r="5" spans="1:19" s="1" customFormat="1">
      <c r="A5" s="11" t="s">
        <v>68</v>
      </c>
      <c r="B5" s="11">
        <v>0.87098500000000001</v>
      </c>
      <c r="C5" s="11">
        <v>0.94526600000000005</v>
      </c>
      <c r="D5" s="11">
        <v>0.96160599999999996</v>
      </c>
      <c r="E5" s="11">
        <v>0.98099899999999995</v>
      </c>
      <c r="F5" s="11">
        <v>0.98636400000000002</v>
      </c>
      <c r="G5" s="11">
        <v>0.95926</v>
      </c>
      <c r="H5" s="11">
        <v>0.97409699999999999</v>
      </c>
      <c r="I5" s="11">
        <v>0.89073899999999995</v>
      </c>
    </row>
    <row r="6" spans="1:19">
      <c r="A6" s="7" t="s">
        <v>69</v>
      </c>
      <c r="B6" s="7">
        <v>0.86484399999999995</v>
      </c>
      <c r="C6" s="7">
        <v>0.94011299999999998</v>
      </c>
      <c r="D6" s="7">
        <v>0.95885600000000004</v>
      </c>
      <c r="E6" s="7">
        <v>0.97974499999999998</v>
      </c>
      <c r="F6" s="7">
        <v>0.979545</v>
      </c>
      <c r="G6" s="7">
        <v>0.95523999999999998</v>
      </c>
      <c r="H6" s="7">
        <v>0.97048800000000002</v>
      </c>
      <c r="I6" s="7">
        <v>0.88124800000000003</v>
      </c>
    </row>
    <row r="7" spans="1:19">
      <c r="A7" s="7" t="s">
        <v>67</v>
      </c>
      <c r="B7" s="7">
        <v>11862</v>
      </c>
      <c r="C7" s="7">
        <v>0</v>
      </c>
      <c r="D7" s="7">
        <v>4414</v>
      </c>
      <c r="E7" s="7">
        <v>1070</v>
      </c>
      <c r="F7" s="7">
        <v>0</v>
      </c>
      <c r="G7" s="7">
        <v>1956</v>
      </c>
      <c r="H7" s="7">
        <v>1368</v>
      </c>
      <c r="I7" s="7">
        <v>1836</v>
      </c>
    </row>
    <row r="8" spans="1:19">
      <c r="A8" s="7" t="s">
        <v>70</v>
      </c>
      <c r="B8" s="7">
        <v>16.93</v>
      </c>
      <c r="C8" s="7">
        <v>56.62</v>
      </c>
      <c r="D8" s="7">
        <v>17.079999999999998</v>
      </c>
      <c r="E8" s="7">
        <v>9.99</v>
      </c>
      <c r="F8" s="7">
        <v>4.4400000000000004</v>
      </c>
      <c r="G8" s="7">
        <v>16.45</v>
      </c>
      <c r="H8" s="7">
        <v>6.06</v>
      </c>
      <c r="I8" s="7">
        <v>8.61</v>
      </c>
    </row>
    <row r="9" spans="1:19">
      <c r="A9" s="7" t="s">
        <v>71</v>
      </c>
      <c r="B9" s="7">
        <v>1</v>
      </c>
      <c r="C9" s="7">
        <v>1</v>
      </c>
      <c r="D9" s="7">
        <v>1</v>
      </c>
      <c r="E9" s="7">
        <v>1</v>
      </c>
      <c r="F9" s="7"/>
      <c r="G9" s="7">
        <v>1</v>
      </c>
      <c r="H9" s="7"/>
      <c r="I9" s="7"/>
    </row>
    <row r="11" spans="1:19">
      <c r="A11" s="2" t="s">
        <v>72</v>
      </c>
      <c r="B11" s="8" t="s">
        <v>58</v>
      </c>
      <c r="C11" s="8" t="s">
        <v>59</v>
      </c>
      <c r="D11" s="8" t="s">
        <v>60</v>
      </c>
      <c r="E11" s="8" t="s">
        <v>61</v>
      </c>
      <c r="F11" s="8" t="s">
        <v>62</v>
      </c>
      <c r="G11" s="8" t="s">
        <v>47</v>
      </c>
      <c r="H11" s="8" t="s">
        <v>54</v>
      </c>
      <c r="I11" s="8" t="s">
        <v>55</v>
      </c>
      <c r="L11" s="8" t="s">
        <v>62</v>
      </c>
      <c r="M11" s="8" t="s">
        <v>59</v>
      </c>
      <c r="N11" s="8" t="s">
        <v>79</v>
      </c>
      <c r="O11" s="8" t="s">
        <v>80</v>
      </c>
      <c r="P11" s="8" t="s">
        <v>81</v>
      </c>
      <c r="Q11" s="8" t="s">
        <v>60</v>
      </c>
      <c r="R11" s="8" t="s">
        <v>58</v>
      </c>
      <c r="S11" s="8" t="s">
        <v>61</v>
      </c>
    </row>
    <row r="12" spans="1:19">
      <c r="A12" s="7" t="s">
        <v>64</v>
      </c>
      <c r="B12" s="7">
        <v>122678578</v>
      </c>
      <c r="C12" s="7">
        <v>7355165</v>
      </c>
      <c r="D12" s="7">
        <v>9364901</v>
      </c>
      <c r="E12" s="7">
        <v>4834702</v>
      </c>
      <c r="F12" s="7">
        <v>189433</v>
      </c>
      <c r="G12" s="7">
        <v>406057</v>
      </c>
      <c r="H12" s="7">
        <v>200339</v>
      </c>
      <c r="I12" s="7">
        <v>274918</v>
      </c>
      <c r="L12" s="7">
        <v>0.98636400000000002</v>
      </c>
      <c r="M12" s="7">
        <v>0.94526600000000005</v>
      </c>
      <c r="N12" s="7">
        <v>0.95926400000000001</v>
      </c>
      <c r="O12" s="7">
        <v>0.97410200000000002</v>
      </c>
      <c r="P12" s="7">
        <v>0.89073899999999995</v>
      </c>
      <c r="Q12" s="7">
        <v>0.96169400000000005</v>
      </c>
      <c r="R12" s="7">
        <v>0.87101399999999995</v>
      </c>
      <c r="S12" s="7">
        <v>0.98100399999999999</v>
      </c>
    </row>
    <row r="13" spans="1:19">
      <c r="A13" s="7" t="s">
        <v>65</v>
      </c>
      <c r="B13" s="7">
        <v>82798859</v>
      </c>
      <c r="C13" s="7">
        <v>10548352</v>
      </c>
      <c r="D13" s="7">
        <v>3090261</v>
      </c>
      <c r="E13" s="7">
        <v>3221055</v>
      </c>
      <c r="F13" s="7">
        <v>1085647</v>
      </c>
      <c r="G13" s="7">
        <v>48911828</v>
      </c>
      <c r="H13" s="7">
        <v>5428595</v>
      </c>
      <c r="I13" s="7">
        <v>7687528</v>
      </c>
    </row>
    <row r="14" spans="1:19">
      <c r="A14" s="7" t="s">
        <v>66</v>
      </c>
      <c r="B14" s="7">
        <v>387180910658771</v>
      </c>
      <c r="C14" s="7">
        <v>4572170605718</v>
      </c>
      <c r="D14" s="7">
        <v>12590967544163</v>
      </c>
      <c r="E14" s="7">
        <v>4052885710540</v>
      </c>
      <c r="F14" s="7">
        <v>200127066203</v>
      </c>
      <c r="G14" s="7">
        <v>19100714385539</v>
      </c>
      <c r="H14" s="7">
        <v>2075898828108</v>
      </c>
      <c r="I14" s="7">
        <v>3629104372375</v>
      </c>
    </row>
    <row r="15" spans="1:19" s="1" customFormat="1">
      <c r="A15" s="11" t="s">
        <v>68</v>
      </c>
      <c r="B15" s="11">
        <v>0.87101399999999995</v>
      </c>
      <c r="C15" s="11">
        <v>0.94526600000000005</v>
      </c>
      <c r="D15" s="11">
        <v>0.96169400000000005</v>
      </c>
      <c r="E15" s="11">
        <v>0.98100399999999999</v>
      </c>
      <c r="F15" s="11">
        <v>0.98636400000000002</v>
      </c>
      <c r="G15" s="11">
        <v>0.95926400000000001</v>
      </c>
      <c r="H15" s="11">
        <v>0.97410200000000002</v>
      </c>
      <c r="I15" s="11">
        <v>0.89073899999999995</v>
      </c>
    </row>
    <row r="16" spans="1:19">
      <c r="A16" s="7" t="s">
        <v>69</v>
      </c>
      <c r="B16" s="7">
        <v>0.86487400000000003</v>
      </c>
      <c r="C16" s="7">
        <v>0.94011299999999998</v>
      </c>
      <c r="D16" s="7">
        <v>0.95895300000000006</v>
      </c>
      <c r="E16" s="7">
        <v>0.97975100000000004</v>
      </c>
      <c r="F16" s="7">
        <v>0.979545</v>
      </c>
      <c r="G16" s="7">
        <v>0.95524500000000001</v>
      </c>
      <c r="H16" s="7">
        <v>0.97049399999999997</v>
      </c>
      <c r="I16" s="7">
        <v>0.88124999999999998</v>
      </c>
    </row>
    <row r="17" spans="1:19">
      <c r="A17" s="7" t="s">
        <v>67</v>
      </c>
      <c r="B17" s="7">
        <v>11856</v>
      </c>
      <c r="C17" s="7">
        <v>0</v>
      </c>
      <c r="D17" s="7">
        <v>4406</v>
      </c>
      <c r="E17" s="7">
        <v>1074</v>
      </c>
      <c r="F17" s="7">
        <v>0</v>
      </c>
      <c r="G17" s="7">
        <v>1956</v>
      </c>
      <c r="H17" s="7">
        <v>1368</v>
      </c>
      <c r="I17" s="7">
        <v>1836</v>
      </c>
    </row>
    <row r="18" spans="1:19">
      <c r="A18" s="7" t="s">
        <v>70</v>
      </c>
    </row>
    <row r="19" spans="1:19">
      <c r="A19" s="7" t="s">
        <v>71</v>
      </c>
    </row>
    <row r="21" spans="1:19">
      <c r="A21" s="9" t="s">
        <v>44</v>
      </c>
      <c r="B21" s="8" t="s">
        <v>58</v>
      </c>
      <c r="C21" s="8" t="s">
        <v>59</v>
      </c>
      <c r="D21" s="8" t="s">
        <v>60</v>
      </c>
      <c r="E21" s="8" t="s">
        <v>61</v>
      </c>
      <c r="F21" s="8" t="s">
        <v>62</v>
      </c>
      <c r="G21" s="8" t="s">
        <v>47</v>
      </c>
      <c r="H21" s="8" t="s">
        <v>54</v>
      </c>
      <c r="I21" s="8" t="s">
        <v>55</v>
      </c>
      <c r="L21" s="8" t="s">
        <v>62</v>
      </c>
      <c r="M21" s="8" t="s">
        <v>59</v>
      </c>
      <c r="N21" s="8" t="s">
        <v>79</v>
      </c>
      <c r="O21" s="8" t="s">
        <v>80</v>
      </c>
      <c r="P21" s="8" t="s">
        <v>81</v>
      </c>
      <c r="Q21" s="8" t="s">
        <v>60</v>
      </c>
      <c r="R21" s="8" t="s">
        <v>58</v>
      </c>
      <c r="S21" s="8" t="s">
        <v>61</v>
      </c>
    </row>
    <row r="22" spans="1:19">
      <c r="A22" s="7" t="s">
        <v>64</v>
      </c>
      <c r="B22" s="7">
        <v>122529718</v>
      </c>
      <c r="C22" s="7">
        <v>7355165</v>
      </c>
      <c r="D22" s="7">
        <v>9322577</v>
      </c>
      <c r="E22" s="7">
        <v>4831476</v>
      </c>
      <c r="F22" s="7">
        <v>189433</v>
      </c>
      <c r="G22" s="7">
        <v>406639</v>
      </c>
      <c r="H22" s="7">
        <v>200198</v>
      </c>
      <c r="I22" s="7">
        <v>276451</v>
      </c>
      <c r="L22" s="7">
        <v>0.98636400000000002</v>
      </c>
      <c r="M22" s="7">
        <v>0.94526600000000005</v>
      </c>
      <c r="N22" s="7">
        <v>0.959291</v>
      </c>
      <c r="O22" s="7">
        <v>0.97412299999999996</v>
      </c>
      <c r="P22" s="7">
        <v>0.89076599999999995</v>
      </c>
      <c r="Q22" s="7">
        <v>0.96197100000000002</v>
      </c>
      <c r="R22" s="7">
        <v>0.87120900000000001</v>
      </c>
      <c r="S22" s="7">
        <v>0.98100600000000004</v>
      </c>
    </row>
    <row r="23" spans="1:19">
      <c r="A23" s="7" t="s">
        <v>65</v>
      </c>
      <c r="B23" s="7">
        <v>82634480</v>
      </c>
      <c r="C23" s="7">
        <v>10548352</v>
      </c>
      <c r="D23" s="7">
        <v>3081702</v>
      </c>
      <c r="E23" s="7">
        <v>3217177</v>
      </c>
      <c r="F23" s="7">
        <v>1085647</v>
      </c>
      <c r="G23" s="7">
        <v>48878476</v>
      </c>
      <c r="H23" s="7">
        <v>5417912</v>
      </c>
      <c r="I23" s="7">
        <v>7681199</v>
      </c>
    </row>
    <row r="24" spans="1:19">
      <c r="A24" s="7" t="s">
        <v>66</v>
      </c>
      <c r="B24" s="7">
        <v>386546497356900</v>
      </c>
      <c r="C24" s="7">
        <v>4572170605718</v>
      </c>
      <c r="D24" s="7">
        <v>12541273594801</v>
      </c>
      <c r="E24" s="7">
        <v>4048602326494</v>
      </c>
      <c r="F24" s="7">
        <v>200127066203</v>
      </c>
      <c r="G24" s="7">
        <v>19089045598384</v>
      </c>
      <c r="H24" s="7">
        <v>2072014611490</v>
      </c>
      <c r="I24" s="7">
        <v>3628475257838</v>
      </c>
    </row>
    <row r="25" spans="1:19" s="1" customFormat="1">
      <c r="A25" s="11" t="s">
        <v>68</v>
      </c>
      <c r="B25" s="11">
        <v>0.87120900000000001</v>
      </c>
      <c r="C25" s="11">
        <v>0.94526600000000005</v>
      </c>
      <c r="D25" s="11">
        <v>0.96197100000000002</v>
      </c>
      <c r="E25" s="11">
        <v>0.98100600000000004</v>
      </c>
      <c r="F25" s="11">
        <v>0.98636400000000002</v>
      </c>
      <c r="G25" s="11">
        <v>0.959291</v>
      </c>
      <c r="H25" s="11">
        <v>0.97412299999999996</v>
      </c>
      <c r="I25" s="11">
        <v>0.89076599999999995</v>
      </c>
    </row>
    <row r="26" spans="1:19">
      <c r="A26" s="7" t="s">
        <v>69</v>
      </c>
      <c r="B26" s="7">
        <v>0.86507299999999998</v>
      </c>
      <c r="C26" s="7">
        <v>0.94011299999999998</v>
      </c>
      <c r="D26" s="7">
        <v>0.95926299999999998</v>
      </c>
      <c r="E26" s="7">
        <v>0.97975299999999999</v>
      </c>
      <c r="F26" s="7">
        <v>0.979545</v>
      </c>
      <c r="G26" s="7">
        <v>0.95527399999999996</v>
      </c>
      <c r="H26" s="7">
        <v>0.97052099999999997</v>
      </c>
      <c r="I26" s="7">
        <v>0.88128499999999999</v>
      </c>
    </row>
    <row r="27" spans="1:19">
      <c r="A27" s="7" t="s">
        <v>67</v>
      </c>
      <c r="B27" s="7">
        <v>11860</v>
      </c>
      <c r="C27" s="7">
        <v>0</v>
      </c>
      <c r="D27" s="7">
        <v>4410</v>
      </c>
      <c r="E27" s="7">
        <v>1072</v>
      </c>
      <c r="F27" s="7">
        <v>0</v>
      </c>
      <c r="G27" s="7">
        <v>1956</v>
      </c>
      <c r="H27" s="7">
        <v>1368</v>
      </c>
      <c r="I27" s="7">
        <v>1834</v>
      </c>
    </row>
    <row r="28" spans="1:19">
      <c r="A28" s="7" t="s">
        <v>70</v>
      </c>
    </row>
    <row r="29" spans="1:19">
      <c r="A29" s="7" t="s">
        <v>71</v>
      </c>
    </row>
    <row r="31" spans="1:19">
      <c r="A31" s="9" t="s">
        <v>45</v>
      </c>
      <c r="B31" s="8" t="s">
        <v>58</v>
      </c>
      <c r="C31" s="8" t="s">
        <v>59</v>
      </c>
      <c r="D31" s="8" t="s">
        <v>60</v>
      </c>
      <c r="E31" s="8" t="s">
        <v>61</v>
      </c>
      <c r="F31" s="8" t="s">
        <v>62</v>
      </c>
      <c r="G31" s="8" t="s">
        <v>47</v>
      </c>
      <c r="H31" s="8" t="s">
        <v>54</v>
      </c>
      <c r="I31" s="8" t="s">
        <v>55</v>
      </c>
      <c r="K31" s="9" t="s">
        <v>87</v>
      </c>
      <c r="L31" s="8" t="s">
        <v>62</v>
      </c>
      <c r="M31" s="8" t="s">
        <v>59</v>
      </c>
      <c r="N31" s="8" t="s">
        <v>79</v>
      </c>
      <c r="O31" s="8" t="s">
        <v>80</v>
      </c>
      <c r="P31" s="8" t="s">
        <v>81</v>
      </c>
      <c r="Q31" s="8" t="s">
        <v>60</v>
      </c>
      <c r="R31" s="8" t="s">
        <v>58</v>
      </c>
      <c r="S31" s="8" t="s">
        <v>61</v>
      </c>
    </row>
    <row r="32" spans="1:19">
      <c r="A32" s="7" t="s">
        <v>64</v>
      </c>
      <c r="B32" s="7">
        <v>45243933</v>
      </c>
      <c r="C32" s="7">
        <v>14733</v>
      </c>
      <c r="D32" s="7">
        <v>6587527</v>
      </c>
      <c r="E32" s="7">
        <v>1420229</v>
      </c>
      <c r="F32" s="7">
        <v>46456</v>
      </c>
      <c r="G32" s="7">
        <v>52638</v>
      </c>
      <c r="H32" s="7">
        <v>23060</v>
      </c>
      <c r="I32" s="7">
        <v>27837</v>
      </c>
      <c r="K32" s="7" t="s">
        <v>64</v>
      </c>
      <c r="L32" s="7">
        <v>40824</v>
      </c>
      <c r="M32" s="7">
        <v>12324</v>
      </c>
      <c r="N32" s="7">
        <v>52638</v>
      </c>
      <c r="O32" s="7">
        <v>23060</v>
      </c>
      <c r="P32" s="7">
        <v>27846</v>
      </c>
      <c r="Q32" s="7">
        <v>6622020</v>
      </c>
      <c r="R32" s="7">
        <v>45221455</v>
      </c>
      <c r="S32" s="7">
        <v>1365411</v>
      </c>
    </row>
    <row r="33" spans="1:19">
      <c r="A33" s="7" t="s">
        <v>65</v>
      </c>
      <c r="B33" s="7">
        <v>72396211</v>
      </c>
      <c r="C33" s="7">
        <v>10126616</v>
      </c>
      <c r="D33" s="7">
        <v>3131147</v>
      </c>
      <c r="E33" s="7">
        <v>3103911</v>
      </c>
      <c r="F33" s="7">
        <v>894399</v>
      </c>
      <c r="G33" s="7">
        <v>44556364</v>
      </c>
      <c r="H33" s="7">
        <v>5358648</v>
      </c>
      <c r="I33" s="7">
        <v>7885940</v>
      </c>
      <c r="K33" s="7" t="s">
        <v>65</v>
      </c>
      <c r="L33" s="7">
        <v>883808</v>
      </c>
      <c r="M33" s="7">
        <v>10124730</v>
      </c>
      <c r="N33" s="7">
        <v>44556364</v>
      </c>
      <c r="O33" s="7">
        <v>5358682</v>
      </c>
      <c r="P33" s="7">
        <v>7886239</v>
      </c>
      <c r="Q33" s="7">
        <v>3139016</v>
      </c>
      <c r="R33" s="7">
        <v>72336499</v>
      </c>
      <c r="S33" s="7">
        <v>3103767</v>
      </c>
    </row>
    <row r="34" spans="1:19">
      <c r="A34" s="7" t="s">
        <v>66</v>
      </c>
      <c r="B34" s="7">
        <v>250605727320588</v>
      </c>
      <c r="C34" s="7">
        <v>296306243509</v>
      </c>
      <c r="D34" s="7">
        <v>10133398009257</v>
      </c>
      <c r="E34" s="7">
        <v>3162126641334</v>
      </c>
      <c r="F34" s="7">
        <v>49212447523</v>
      </c>
      <c r="G34" s="7">
        <v>16899060858026</v>
      </c>
      <c r="H34" s="7">
        <v>1910429239371</v>
      </c>
      <c r="I34" s="7">
        <v>3382050270345</v>
      </c>
      <c r="K34" s="7" t="s">
        <v>66</v>
      </c>
      <c r="L34" s="7">
        <v>43266848330</v>
      </c>
      <c r="M34" s="7">
        <v>294853667530</v>
      </c>
      <c r="N34" s="7">
        <v>16899060858026</v>
      </c>
      <c r="O34" s="7">
        <v>1910440708760</v>
      </c>
      <c r="P34" s="7">
        <v>3382189120405</v>
      </c>
      <c r="Q34" s="7">
        <v>10175087911244</v>
      </c>
      <c r="R34" s="7">
        <v>250420066523041</v>
      </c>
      <c r="S34" s="7">
        <v>3149413274749</v>
      </c>
    </row>
    <row r="35" spans="1:19">
      <c r="A35" s="7" t="s">
        <v>68</v>
      </c>
      <c r="B35" s="7">
        <v>0.86829299999999998</v>
      </c>
      <c r="C35" s="7">
        <v>0.90658700000000003</v>
      </c>
      <c r="D35" s="7">
        <v>0.94802500000000001</v>
      </c>
      <c r="E35" s="7">
        <v>0.96860500000000005</v>
      </c>
      <c r="F35" s="7">
        <v>0.98636400000000002</v>
      </c>
      <c r="G35" s="7">
        <v>0.95849300000000004</v>
      </c>
      <c r="H35" s="7">
        <v>0.97048800000000002</v>
      </c>
      <c r="I35" s="7">
        <v>0.88995800000000003</v>
      </c>
      <c r="K35" s="7" t="s">
        <v>68</v>
      </c>
      <c r="L35" s="7">
        <v>0.55681800000000004</v>
      </c>
      <c r="M35" s="7">
        <v>0.90524700000000002</v>
      </c>
      <c r="N35" s="7">
        <v>0.95849300000000004</v>
      </c>
      <c r="O35" s="7">
        <v>0.97038000000000002</v>
      </c>
      <c r="P35" s="7">
        <v>0.88914800000000005</v>
      </c>
      <c r="Q35" s="7">
        <v>0.94807399999999997</v>
      </c>
      <c r="R35" s="7">
        <v>0.86846199999999996</v>
      </c>
      <c r="S35" s="7">
        <v>0.96959799999999996</v>
      </c>
    </row>
    <row r="36" spans="1:19">
      <c r="A36" s="7" t="s">
        <v>69</v>
      </c>
      <c r="B36" s="7">
        <v>0.86202000000000001</v>
      </c>
      <c r="C36" s="7">
        <v>0.89806900000000001</v>
      </c>
      <c r="D36" s="7">
        <v>0.94384999999999997</v>
      </c>
      <c r="E36" s="7">
        <v>0.96551100000000001</v>
      </c>
      <c r="F36" s="7">
        <v>0.979545</v>
      </c>
      <c r="G36" s="7">
        <v>0.95440499999999995</v>
      </c>
      <c r="H36" s="7">
        <v>0.96604000000000001</v>
      </c>
      <c r="I36" s="7">
        <v>0.88029400000000002</v>
      </c>
      <c r="K36" s="7" t="s">
        <v>69</v>
      </c>
      <c r="L36" s="7">
        <v>0.13409099999999999</v>
      </c>
      <c r="M36">
        <v>0.89646800000000004</v>
      </c>
      <c r="N36" s="7">
        <v>0.95440499999999995</v>
      </c>
      <c r="O36" s="7">
        <v>0.96590299999999996</v>
      </c>
      <c r="P36" s="7">
        <v>0.87931300000000001</v>
      </c>
      <c r="Q36" s="7">
        <v>0.94390600000000002</v>
      </c>
      <c r="R36" s="7">
        <v>0.86218899999999998</v>
      </c>
      <c r="S36" s="7">
        <v>0.966669</v>
      </c>
    </row>
    <row r="37" spans="1:19">
      <c r="A37" s="7" t="s">
        <v>73</v>
      </c>
      <c r="B37" s="7">
        <v>0.18632399999999999</v>
      </c>
      <c r="C37" s="7">
        <v>0.91139899999999996</v>
      </c>
      <c r="D37" s="7">
        <v>0.17260700000000001</v>
      </c>
      <c r="E37" s="7">
        <v>0.44912999999999997</v>
      </c>
      <c r="F37" s="7">
        <v>0.700156</v>
      </c>
      <c r="G37" s="7">
        <v>0.71908799999999995</v>
      </c>
      <c r="H37" s="7">
        <v>0.79853600000000002</v>
      </c>
      <c r="I37" s="7">
        <v>0.77731899999999998</v>
      </c>
      <c r="K37" s="7" t="s">
        <v>73</v>
      </c>
      <c r="L37" s="7">
        <v>0.73618799999999995</v>
      </c>
      <c r="M37" s="7">
        <v>0.92830900000000005</v>
      </c>
      <c r="N37" s="7">
        <v>0.71908799999999995</v>
      </c>
      <c r="O37" s="7">
        <v>0.79852599999999996</v>
      </c>
      <c r="P37" s="7">
        <v>0.77739000000000003</v>
      </c>
      <c r="Q37" s="7">
        <v>0.17274</v>
      </c>
      <c r="R37" s="7">
        <v>0.18632399999999999</v>
      </c>
      <c r="S37" s="7">
        <v>0.453042</v>
      </c>
    </row>
    <row r="38" spans="1:19">
      <c r="A38" s="7" t="s">
        <v>67</v>
      </c>
      <c r="B38" s="7">
        <v>11858</v>
      </c>
      <c r="C38" s="7">
        <v>0</v>
      </c>
      <c r="D38" s="7">
        <v>4416</v>
      </c>
      <c r="E38" s="7">
        <v>1072</v>
      </c>
      <c r="F38" s="7">
        <v>0</v>
      </c>
      <c r="G38" s="7">
        <v>1956</v>
      </c>
      <c r="H38" s="7">
        <v>1368</v>
      </c>
      <c r="I38" s="7">
        <v>1834</v>
      </c>
      <c r="K38" s="7" t="s">
        <v>67</v>
      </c>
      <c r="L38" s="7">
        <v>0</v>
      </c>
      <c r="M38" s="7">
        <v>0</v>
      </c>
      <c r="N38" s="7">
        <v>1956</v>
      </c>
      <c r="O38" s="7">
        <v>1368</v>
      </c>
      <c r="P38" s="7">
        <v>1834</v>
      </c>
      <c r="Q38" s="7">
        <v>4412</v>
      </c>
      <c r="R38" s="7">
        <v>11856</v>
      </c>
      <c r="S38" s="7">
        <v>1072</v>
      </c>
    </row>
    <row r="39" spans="1:19">
      <c r="A39" s="7" t="s">
        <v>70</v>
      </c>
      <c r="B39" s="7">
        <v>15.24</v>
      </c>
      <c r="C39" s="7">
        <v>52.94</v>
      </c>
      <c r="D39" s="7">
        <v>13.92</v>
      </c>
      <c r="E39" s="7">
        <v>9.76</v>
      </c>
      <c r="F39" s="7">
        <v>2.64</v>
      </c>
      <c r="G39" s="7">
        <v>15.18</v>
      </c>
      <c r="H39" s="7">
        <v>5.79</v>
      </c>
      <c r="I39" s="7">
        <v>8.1999999999999993</v>
      </c>
      <c r="K39" s="7" t="s">
        <v>70</v>
      </c>
      <c r="L39" s="7">
        <v>2.5499999999999998</v>
      </c>
      <c r="M39" s="7">
        <v>52.84</v>
      </c>
      <c r="N39" s="7">
        <v>15.18</v>
      </c>
      <c r="O39" s="7">
        <v>5.79</v>
      </c>
      <c r="P39" s="7">
        <v>8.1999999999999993</v>
      </c>
      <c r="Q39" s="7">
        <v>13.91</v>
      </c>
      <c r="R39" s="7">
        <v>15.26</v>
      </c>
      <c r="S39" s="7">
        <v>9.75</v>
      </c>
    </row>
    <row r="40" spans="1:19">
      <c r="A40" s="7" t="s">
        <v>71</v>
      </c>
      <c r="B40" s="7">
        <v>8.9499999999999993</v>
      </c>
      <c r="C40" s="7">
        <v>16.39</v>
      </c>
      <c r="D40" s="7">
        <v>7.5</v>
      </c>
      <c r="E40" s="7">
        <v>6.42</v>
      </c>
      <c r="F40" s="7">
        <v>1.28</v>
      </c>
      <c r="G40" s="7">
        <v>3.71</v>
      </c>
      <c r="H40" s="7">
        <v>1.99</v>
      </c>
      <c r="I40" s="7">
        <v>2.06</v>
      </c>
      <c r="K40" s="7" t="s">
        <v>71</v>
      </c>
      <c r="L40" s="7">
        <v>1.23</v>
      </c>
      <c r="M40" s="7">
        <v>16.36</v>
      </c>
      <c r="N40" s="7">
        <v>3.71</v>
      </c>
      <c r="O40" s="7">
        <v>1.99</v>
      </c>
      <c r="P40" s="7">
        <v>2.06</v>
      </c>
      <c r="Q40" s="7">
        <v>7.49</v>
      </c>
      <c r="R40" s="7">
        <v>8.9700000000000006</v>
      </c>
      <c r="S40" s="7">
        <v>6.41</v>
      </c>
    </row>
    <row r="42" spans="1:19">
      <c r="A42" s="10" t="s">
        <v>74</v>
      </c>
    </row>
    <row r="43" spans="1:19">
      <c r="A43" s="7" t="s">
        <v>75</v>
      </c>
      <c r="B43" s="7">
        <v>130932084</v>
      </c>
      <c r="C43" s="7">
        <v>7439188</v>
      </c>
      <c r="D43" s="7">
        <v>9360871</v>
      </c>
      <c r="E43" s="7">
        <v>4874756</v>
      </c>
      <c r="F43" s="7">
        <v>189435</v>
      </c>
      <c r="G43" s="7">
        <v>405473</v>
      </c>
      <c r="H43" s="7">
        <v>200336</v>
      </c>
      <c r="I43" s="7">
        <v>275397</v>
      </c>
      <c r="K43" s="7">
        <v>189435</v>
      </c>
      <c r="L43" s="7">
        <v>7439188</v>
      </c>
      <c r="M43" s="7">
        <v>405473</v>
      </c>
      <c r="N43" s="7">
        <v>200336</v>
      </c>
      <c r="O43" s="7">
        <v>275397</v>
      </c>
      <c r="P43" s="7">
        <v>9360871</v>
      </c>
      <c r="Q43" s="7">
        <v>130932084</v>
      </c>
      <c r="R43" s="7">
        <v>4874756</v>
      </c>
    </row>
    <row r="44" spans="1:19">
      <c r="B44" s="7">
        <v>122678578</v>
      </c>
      <c r="C44" s="7">
        <v>7355165</v>
      </c>
      <c r="D44" s="7">
        <v>9364901</v>
      </c>
      <c r="E44" s="7">
        <v>4834702</v>
      </c>
      <c r="F44" s="7">
        <v>189433</v>
      </c>
      <c r="G44" s="7">
        <v>406057</v>
      </c>
      <c r="H44" s="7">
        <v>200339</v>
      </c>
      <c r="I44" s="7">
        <v>274918</v>
      </c>
      <c r="K44" s="7">
        <v>189433</v>
      </c>
      <c r="L44" s="7">
        <v>7355165</v>
      </c>
      <c r="M44" s="7">
        <v>406057</v>
      </c>
      <c r="N44" s="7">
        <v>200339</v>
      </c>
      <c r="O44" s="7">
        <v>274918</v>
      </c>
      <c r="P44" s="7">
        <v>9364901</v>
      </c>
      <c r="Q44" s="7">
        <v>122678578</v>
      </c>
      <c r="R44" s="7">
        <v>4834702</v>
      </c>
    </row>
    <row r="45" spans="1:19">
      <c r="B45" s="7">
        <v>122529718</v>
      </c>
      <c r="C45" s="7">
        <v>7355165</v>
      </c>
      <c r="D45" s="7">
        <v>9322577</v>
      </c>
      <c r="E45" s="7">
        <v>4831476</v>
      </c>
      <c r="F45" s="7">
        <v>189433</v>
      </c>
      <c r="G45" s="7">
        <v>406639</v>
      </c>
      <c r="H45" s="7">
        <v>200198</v>
      </c>
      <c r="I45" s="7">
        <v>276451</v>
      </c>
      <c r="K45" s="7">
        <v>189433</v>
      </c>
      <c r="L45" s="7">
        <v>7355165</v>
      </c>
      <c r="M45" s="7">
        <v>406639</v>
      </c>
      <c r="N45" s="7">
        <v>200198</v>
      </c>
      <c r="O45" s="7">
        <v>276451</v>
      </c>
      <c r="P45" s="7">
        <v>9322577</v>
      </c>
      <c r="Q45" s="7">
        <v>122529718</v>
      </c>
      <c r="R45" s="7">
        <v>4831476</v>
      </c>
    </row>
    <row r="46" spans="1:19">
      <c r="B46">
        <v>45243933</v>
      </c>
      <c r="C46">
        <v>14733</v>
      </c>
      <c r="D46">
        <v>6587527</v>
      </c>
      <c r="E46">
        <v>1420229</v>
      </c>
      <c r="F46">
        <v>46456</v>
      </c>
      <c r="G46">
        <v>52638</v>
      </c>
      <c r="H46">
        <v>23060</v>
      </c>
      <c r="I46">
        <v>27837</v>
      </c>
      <c r="K46" s="7">
        <v>40824</v>
      </c>
      <c r="L46" s="7">
        <v>12324</v>
      </c>
      <c r="M46" s="7">
        <v>52638</v>
      </c>
      <c r="N46" s="7">
        <v>23060</v>
      </c>
      <c r="O46" s="7">
        <v>27846</v>
      </c>
      <c r="P46" s="7">
        <v>6622020</v>
      </c>
      <c r="Q46" s="7">
        <v>45221455</v>
      </c>
      <c r="R46" s="7">
        <v>1365411</v>
      </c>
    </row>
    <row r="47" spans="1:19">
      <c r="B47" s="8" t="s">
        <v>58</v>
      </c>
      <c r="C47" s="8" t="s">
        <v>59</v>
      </c>
      <c r="D47" s="8" t="s">
        <v>60</v>
      </c>
      <c r="E47" s="8" t="s">
        <v>61</v>
      </c>
      <c r="F47" s="8" t="s">
        <v>62</v>
      </c>
      <c r="G47" s="8" t="s">
        <v>47</v>
      </c>
      <c r="H47" s="8" t="s">
        <v>54</v>
      </c>
      <c r="I47" s="8" t="s">
        <v>55</v>
      </c>
      <c r="K47" s="8" t="s">
        <v>62</v>
      </c>
      <c r="L47" s="8" t="s">
        <v>59</v>
      </c>
      <c r="M47" s="8" t="s">
        <v>79</v>
      </c>
      <c r="N47" s="8" t="s">
        <v>80</v>
      </c>
      <c r="O47" s="8" t="s">
        <v>81</v>
      </c>
      <c r="P47" s="8" t="s">
        <v>60</v>
      </c>
      <c r="Q47" s="8" t="s">
        <v>58</v>
      </c>
      <c r="R47" s="8" t="s">
        <v>61</v>
      </c>
    </row>
    <row r="48" spans="1:19">
      <c r="B48" s="7">
        <v>1</v>
      </c>
      <c r="C48" s="7">
        <v>1</v>
      </c>
      <c r="D48" s="7">
        <v>1</v>
      </c>
      <c r="E48" s="7">
        <v>1</v>
      </c>
      <c r="F48" s="7">
        <v>1</v>
      </c>
      <c r="G48" s="7">
        <v>1</v>
      </c>
      <c r="H48" s="7">
        <v>1</v>
      </c>
      <c r="I48" s="7">
        <v>1</v>
      </c>
      <c r="K48" s="7">
        <v>1</v>
      </c>
      <c r="L48" s="7">
        <v>1</v>
      </c>
      <c r="M48" s="7">
        <v>1</v>
      </c>
      <c r="N48" s="7">
        <v>1</v>
      </c>
      <c r="O48" s="7">
        <v>1</v>
      </c>
      <c r="P48" s="7">
        <v>1</v>
      </c>
      <c r="Q48" s="7">
        <v>1</v>
      </c>
      <c r="R48" s="7">
        <v>1</v>
      </c>
      <c r="S48" s="7"/>
    </row>
    <row r="49" spans="1:19">
      <c r="B49">
        <f>B44/B43</f>
        <v>0.93696345656577196</v>
      </c>
      <c r="C49">
        <f t="shared" ref="C49:I49" si="0">C44/C43</f>
        <v>0.98870535332619636</v>
      </c>
      <c r="D49">
        <f t="shared" si="0"/>
        <v>1.0004305154936972</v>
      </c>
      <c r="E49">
        <f t="shared" si="0"/>
        <v>0.99178338361961094</v>
      </c>
      <c r="F49">
        <f t="shared" si="0"/>
        <v>0.99998944228891173</v>
      </c>
      <c r="G49">
        <f t="shared" si="0"/>
        <v>1.001440293188449</v>
      </c>
      <c r="H49">
        <f t="shared" si="0"/>
        <v>1.0000149748422651</v>
      </c>
      <c r="I49">
        <f t="shared" si="0"/>
        <v>0.99826069274538209</v>
      </c>
      <c r="K49">
        <f t="shared" ref="K49:P49" si="1">K44/K43</f>
        <v>0.99998944228891173</v>
      </c>
      <c r="L49">
        <f t="shared" si="1"/>
        <v>0.98870535332619636</v>
      </c>
      <c r="M49">
        <f t="shared" si="1"/>
        <v>1.001440293188449</v>
      </c>
      <c r="N49">
        <f t="shared" si="1"/>
        <v>1.0000149748422651</v>
      </c>
      <c r="O49">
        <f t="shared" si="1"/>
        <v>0.99826069274538209</v>
      </c>
      <c r="P49">
        <f t="shared" si="1"/>
        <v>1.0004305154936972</v>
      </c>
      <c r="Q49">
        <f>Q44/Q43</f>
        <v>0.93696345656577196</v>
      </c>
      <c r="R49">
        <f t="shared" ref="R49" si="2">R44/R43</f>
        <v>0.99178338361961094</v>
      </c>
    </row>
    <row r="50" spans="1:19">
      <c r="B50">
        <f>B45/B43</f>
        <v>0.93582653125722803</v>
      </c>
      <c r="C50">
        <f t="shared" ref="C50:I50" si="3">C45/C43</f>
        <v>0.98870535332619636</v>
      </c>
      <c r="D50">
        <f>D45/D43</f>
        <v>0.99590914136088404</v>
      </c>
      <c r="E50">
        <f t="shared" si="3"/>
        <v>0.99112160690709439</v>
      </c>
      <c r="F50">
        <f t="shared" si="3"/>
        <v>0.99998944228891173</v>
      </c>
      <c r="G50">
        <f t="shared" si="3"/>
        <v>1.0028756538659787</v>
      </c>
      <c r="H50">
        <f t="shared" si="3"/>
        <v>0.99931115725581021</v>
      </c>
      <c r="I50">
        <f t="shared" si="3"/>
        <v>1.0038272021844827</v>
      </c>
      <c r="K50">
        <f t="shared" ref="K50:O50" si="4">K45/K43</f>
        <v>0.99998944228891173</v>
      </c>
      <c r="L50">
        <f t="shared" si="4"/>
        <v>0.98870535332619636</v>
      </c>
      <c r="M50">
        <f t="shared" si="4"/>
        <v>1.0028756538659787</v>
      </c>
      <c r="N50">
        <f t="shared" si="4"/>
        <v>0.99931115725581021</v>
      </c>
      <c r="O50">
        <f t="shared" si="4"/>
        <v>1.0038272021844827</v>
      </c>
      <c r="P50">
        <f>P45/P43</f>
        <v>0.99590914136088404</v>
      </c>
      <c r="Q50">
        <f>Q45/Q43</f>
        <v>0.93582653125722803</v>
      </c>
      <c r="R50">
        <f t="shared" ref="R50" si="5">R45/R43</f>
        <v>0.99112160690709439</v>
      </c>
    </row>
    <row r="51" spans="1:19">
      <c r="B51">
        <f>B46/B43</f>
        <v>0.34555268363405872</v>
      </c>
      <c r="C51">
        <f t="shared" ref="C51:I51" si="6">C46/C43</f>
        <v>1.9804580822530629E-3</v>
      </c>
      <c r="D51">
        <f t="shared" si="6"/>
        <v>0.70373013365957082</v>
      </c>
      <c r="E51">
        <f t="shared" si="6"/>
        <v>0.2913436077621116</v>
      </c>
      <c r="F51">
        <f t="shared" si="6"/>
        <v>0.24523451315754743</v>
      </c>
      <c r="G51">
        <f t="shared" si="6"/>
        <v>0.12981875488626862</v>
      </c>
      <c r="H51">
        <f t="shared" si="6"/>
        <v>0.11510662087692676</v>
      </c>
      <c r="I51">
        <f t="shared" si="6"/>
        <v>0.10107953245678057</v>
      </c>
      <c r="K51">
        <f t="shared" ref="K51:P51" si="7">K46/K43</f>
        <v>0.21550399873307466</v>
      </c>
      <c r="L51">
        <f t="shared" si="7"/>
        <v>1.6566324174089968E-3</v>
      </c>
      <c r="M51">
        <f t="shared" si="7"/>
        <v>0.12981875488626862</v>
      </c>
      <c r="N51">
        <f t="shared" si="7"/>
        <v>0.11510662087692676</v>
      </c>
      <c r="O51">
        <f t="shared" si="7"/>
        <v>0.10111221255133498</v>
      </c>
      <c r="P51">
        <f t="shared" si="7"/>
        <v>0.70741494034048757</v>
      </c>
      <c r="Q51">
        <f>Q46/Q43</f>
        <v>0.34538100684321194</v>
      </c>
      <c r="R51">
        <f t="shared" ref="R51" si="8">R46/R43</f>
        <v>0.28009832697267312</v>
      </c>
    </row>
    <row r="52" spans="1:19" s="1" customFormat="1">
      <c r="A52" s="12" t="s">
        <v>82</v>
      </c>
      <c r="B52" s="1">
        <f>B46/B44</f>
        <v>0.36880059858535369</v>
      </c>
      <c r="C52" s="1">
        <f t="shared" ref="C52:R52" si="9">C46/C44</f>
        <v>2.0030821878231149E-3</v>
      </c>
      <c r="D52" s="1">
        <f t="shared" si="9"/>
        <v>0.70342729730938958</v>
      </c>
      <c r="E52" s="1">
        <f t="shared" si="9"/>
        <v>0.29375729879525148</v>
      </c>
      <c r="F52" s="1">
        <f t="shared" si="9"/>
        <v>0.24523710230002163</v>
      </c>
      <c r="G52" s="1">
        <f t="shared" si="9"/>
        <v>0.12963204673235532</v>
      </c>
      <c r="H52" s="1">
        <f t="shared" si="9"/>
        <v>0.11510489719924727</v>
      </c>
      <c r="I52" s="1">
        <f t="shared" si="9"/>
        <v>0.10125564713841946</v>
      </c>
      <c r="K52" s="1">
        <f t="shared" si="9"/>
        <v>0.21550627398605313</v>
      </c>
      <c r="L52" s="1">
        <f t="shared" si="9"/>
        <v>1.6755572444669834E-3</v>
      </c>
      <c r="M52" s="1">
        <f t="shared" si="9"/>
        <v>0.12963204673235532</v>
      </c>
      <c r="N52" s="1">
        <f t="shared" si="9"/>
        <v>0.11510489719924727</v>
      </c>
      <c r="O52" s="1">
        <f t="shared" si="9"/>
        <v>0.10128838417273514</v>
      </c>
      <c r="P52" s="1">
        <f t="shared" si="9"/>
        <v>0.70711051830660032</v>
      </c>
      <c r="Q52" s="1">
        <f t="shared" si="9"/>
        <v>0.36861737181205345</v>
      </c>
      <c r="R52" s="1">
        <f t="shared" si="9"/>
        <v>0.28241885435751779</v>
      </c>
      <c r="S52" s="1">
        <f>AVERAGE(K52:R52)</f>
        <v>0.24016923797637868</v>
      </c>
    </row>
    <row r="53" spans="1:19">
      <c r="A53" s="2" t="s">
        <v>83</v>
      </c>
      <c r="B53">
        <f>B46/B45</f>
        <v>0.36924865035598958</v>
      </c>
      <c r="C53">
        <f t="shared" ref="C53:R53" si="10">C46/C45</f>
        <v>2.0030821878231149E-3</v>
      </c>
      <c r="D53">
        <f t="shared" si="10"/>
        <v>0.70662081954378064</v>
      </c>
      <c r="E53">
        <f t="shared" si="10"/>
        <v>0.2939534419709422</v>
      </c>
      <c r="F53">
        <f t="shared" si="10"/>
        <v>0.24523710230002163</v>
      </c>
      <c r="G53">
        <f t="shared" si="10"/>
        <v>0.12944651152496439</v>
      </c>
      <c r="H53">
        <f t="shared" si="10"/>
        <v>0.11518596589376517</v>
      </c>
      <c r="I53">
        <f t="shared" si="10"/>
        <v>0.10069415556463894</v>
      </c>
      <c r="K53">
        <f t="shared" si="10"/>
        <v>0.21550627398605313</v>
      </c>
      <c r="L53">
        <f t="shared" si="10"/>
        <v>1.6755572444669834E-3</v>
      </c>
      <c r="M53">
        <f t="shared" si="10"/>
        <v>0.12944651152496439</v>
      </c>
      <c r="N53">
        <f t="shared" si="10"/>
        <v>0.11518596589376517</v>
      </c>
      <c r="O53">
        <f t="shared" si="10"/>
        <v>0.10072671106271998</v>
      </c>
      <c r="P53">
        <f t="shared" si="10"/>
        <v>0.71032076216694162</v>
      </c>
      <c r="Q53">
        <f t="shared" si="10"/>
        <v>0.36906520098250778</v>
      </c>
      <c r="R53">
        <f t="shared" si="10"/>
        <v>0.2826074267987671</v>
      </c>
      <c r="S53" s="1">
        <f t="shared" ref="S53:S54" si="11">AVERAGE(K53:R53)</f>
        <v>0.24056680120752325</v>
      </c>
    </row>
    <row r="54" spans="1:19">
      <c r="B54" s="2">
        <f>1-B51</f>
        <v>0.65444731636594122</v>
      </c>
      <c r="C54" s="2">
        <f>1-C51</f>
        <v>0.99801954191774689</v>
      </c>
      <c r="D54" s="2">
        <f t="shared" ref="D54:E54" si="12">1-D51</f>
        <v>0.29626986634042918</v>
      </c>
      <c r="E54" s="2">
        <f t="shared" si="12"/>
        <v>0.70865639223788834</v>
      </c>
      <c r="F54">
        <f>1-F51</f>
        <v>0.75476548684245259</v>
      </c>
      <c r="G54">
        <f t="shared" ref="G54:R54" si="13">1-G51</f>
        <v>0.87018124511373141</v>
      </c>
      <c r="H54">
        <f t="shared" si="13"/>
        <v>0.8848933791230732</v>
      </c>
      <c r="I54">
        <f t="shared" si="13"/>
        <v>0.89892046754321941</v>
      </c>
      <c r="K54">
        <f t="shared" si="13"/>
        <v>0.78449600126692531</v>
      </c>
      <c r="L54">
        <f t="shared" si="13"/>
        <v>0.99834336758259101</v>
      </c>
      <c r="M54">
        <f t="shared" si="13"/>
        <v>0.87018124511373141</v>
      </c>
      <c r="N54">
        <f t="shared" si="13"/>
        <v>0.8848933791230732</v>
      </c>
      <c r="O54">
        <f t="shared" si="13"/>
        <v>0.89888778744866504</v>
      </c>
      <c r="P54">
        <f t="shared" si="13"/>
        <v>0.29258505965951243</v>
      </c>
      <c r="Q54">
        <f t="shared" si="13"/>
        <v>0.65461899315678806</v>
      </c>
      <c r="R54">
        <f t="shared" si="13"/>
        <v>0.71990167302732688</v>
      </c>
      <c r="S54" s="1">
        <f t="shared" si="11"/>
        <v>0.76298843829732665</v>
      </c>
    </row>
    <row r="55" spans="1:19">
      <c r="B55">
        <f>SUM(B54,D54,E54)/3</f>
        <v>0.55312452498141962</v>
      </c>
      <c r="G55">
        <f>SUM(G54:I54)/3</f>
        <v>0.88466503059334123</v>
      </c>
      <c r="M55">
        <f>AVERAGE(M54:O54)</f>
        <v>0.88465413722848985</v>
      </c>
      <c r="P55">
        <f>AVERAGE(P54:R54)</f>
        <v>0.55570190861454238</v>
      </c>
    </row>
    <row r="56" spans="1:19">
      <c r="A56" s="9" t="s">
        <v>76</v>
      </c>
      <c r="B56" s="7">
        <v>87240531</v>
      </c>
      <c r="C56" s="7">
        <v>10748114</v>
      </c>
      <c r="D56" s="7">
        <v>3238436</v>
      </c>
      <c r="E56" s="7">
        <v>3294648</v>
      </c>
      <c r="F56" s="7">
        <v>1085647</v>
      </c>
      <c r="G56" s="7">
        <v>49020612</v>
      </c>
      <c r="H56" s="7">
        <v>5459134</v>
      </c>
      <c r="I56" s="7">
        <v>8141100</v>
      </c>
      <c r="K56" s="7">
        <v>1085647</v>
      </c>
      <c r="L56" s="7">
        <v>10748114</v>
      </c>
      <c r="M56" s="7">
        <v>49020612</v>
      </c>
      <c r="N56" s="7">
        <v>5459134</v>
      </c>
      <c r="O56" s="7">
        <v>8141100</v>
      </c>
      <c r="P56" s="7">
        <v>3238436</v>
      </c>
      <c r="Q56" s="7">
        <v>87240531</v>
      </c>
      <c r="R56" s="7">
        <v>3294648</v>
      </c>
    </row>
    <row r="57" spans="1:19">
      <c r="B57" s="7">
        <v>82798859</v>
      </c>
      <c r="C57" s="7">
        <v>10548352</v>
      </c>
      <c r="D57" s="7">
        <v>3090261</v>
      </c>
      <c r="E57" s="7">
        <v>3221055</v>
      </c>
      <c r="F57" s="7">
        <v>1085647</v>
      </c>
      <c r="G57" s="7">
        <v>48911828</v>
      </c>
      <c r="H57" s="7">
        <v>5428595</v>
      </c>
      <c r="I57" s="7">
        <v>7687528</v>
      </c>
      <c r="K57" s="7">
        <v>1085647</v>
      </c>
      <c r="L57" s="7">
        <v>10548352</v>
      </c>
      <c r="M57" s="7">
        <v>48911828</v>
      </c>
      <c r="N57" s="7">
        <v>5428595</v>
      </c>
      <c r="O57" s="7">
        <v>7687528</v>
      </c>
      <c r="P57" s="7">
        <v>3090261</v>
      </c>
      <c r="Q57" s="7">
        <v>82798859</v>
      </c>
      <c r="R57" s="7">
        <v>3221055</v>
      </c>
    </row>
    <row r="58" spans="1:19">
      <c r="B58" s="7">
        <v>82634480</v>
      </c>
      <c r="C58" s="7">
        <v>10548352</v>
      </c>
      <c r="D58" s="7">
        <v>3081702</v>
      </c>
      <c r="E58" s="7">
        <v>3217177</v>
      </c>
      <c r="F58" s="7">
        <v>1085647</v>
      </c>
      <c r="G58" s="7">
        <v>48878476</v>
      </c>
      <c r="H58" s="7">
        <v>5417912</v>
      </c>
      <c r="I58" s="7">
        <v>7681199</v>
      </c>
      <c r="K58" s="7">
        <v>1085647</v>
      </c>
      <c r="L58" s="7">
        <v>10548352</v>
      </c>
      <c r="M58" s="7">
        <v>48878476</v>
      </c>
      <c r="N58" s="7">
        <v>5417912</v>
      </c>
      <c r="O58" s="7">
        <v>7681199</v>
      </c>
      <c r="P58" s="7">
        <v>3081702</v>
      </c>
      <c r="Q58" s="7">
        <v>82634480</v>
      </c>
      <c r="R58" s="7">
        <v>3217177</v>
      </c>
    </row>
    <row r="59" spans="1:19">
      <c r="B59" s="7">
        <v>72396211</v>
      </c>
      <c r="C59" s="7">
        <v>10126616</v>
      </c>
      <c r="D59" s="7">
        <v>3131147</v>
      </c>
      <c r="E59" s="7">
        <v>3103911</v>
      </c>
      <c r="F59" s="7">
        <v>894399</v>
      </c>
      <c r="G59" s="7">
        <v>44556364</v>
      </c>
      <c r="H59" s="7">
        <v>5358648</v>
      </c>
      <c r="I59" s="7">
        <v>7885940</v>
      </c>
      <c r="K59" s="7">
        <v>883808</v>
      </c>
      <c r="L59" s="7">
        <v>10124730</v>
      </c>
      <c r="M59" s="7">
        <v>44556364</v>
      </c>
      <c r="N59" s="7">
        <v>5358682</v>
      </c>
      <c r="O59" s="7">
        <v>7886239</v>
      </c>
      <c r="P59" s="7">
        <v>3139016</v>
      </c>
      <c r="Q59" s="7">
        <v>72336499</v>
      </c>
      <c r="R59" s="7">
        <v>3103767</v>
      </c>
    </row>
    <row r="60" spans="1:19">
      <c r="B60" s="8" t="s">
        <v>58</v>
      </c>
      <c r="C60" s="8" t="s">
        <v>59</v>
      </c>
      <c r="D60" s="8" t="s">
        <v>60</v>
      </c>
      <c r="E60" s="8" t="s">
        <v>61</v>
      </c>
      <c r="F60" s="8" t="s">
        <v>62</v>
      </c>
      <c r="G60" s="8" t="s">
        <v>47</v>
      </c>
      <c r="H60" s="8" t="s">
        <v>54</v>
      </c>
      <c r="I60" s="8" t="s">
        <v>55</v>
      </c>
      <c r="K60" s="8" t="s">
        <v>62</v>
      </c>
      <c r="L60" s="8" t="s">
        <v>59</v>
      </c>
      <c r="M60" s="8" t="s">
        <v>79</v>
      </c>
      <c r="N60" s="8" t="s">
        <v>80</v>
      </c>
      <c r="O60" s="8" t="s">
        <v>81</v>
      </c>
      <c r="P60" s="8" t="s">
        <v>60</v>
      </c>
      <c r="Q60" s="8" t="s">
        <v>58</v>
      </c>
      <c r="R60" s="8" t="s">
        <v>61</v>
      </c>
    </row>
    <row r="61" spans="1:19">
      <c r="B61" s="7">
        <v>1</v>
      </c>
      <c r="C61" s="7">
        <v>1</v>
      </c>
      <c r="D61" s="7">
        <v>1</v>
      </c>
      <c r="E61" s="7">
        <v>1</v>
      </c>
      <c r="F61" s="7">
        <v>1</v>
      </c>
      <c r="G61" s="7">
        <v>1</v>
      </c>
      <c r="H61" s="7">
        <v>1</v>
      </c>
      <c r="I61" s="7">
        <v>1</v>
      </c>
      <c r="K61" s="7">
        <v>1</v>
      </c>
      <c r="L61" s="7">
        <v>1</v>
      </c>
      <c r="M61" s="7">
        <v>1</v>
      </c>
      <c r="N61" s="7">
        <v>1</v>
      </c>
      <c r="O61" s="7">
        <v>1</v>
      </c>
      <c r="P61" s="7">
        <v>1</v>
      </c>
      <c r="Q61" s="7">
        <v>1</v>
      </c>
      <c r="R61" s="7">
        <v>1</v>
      </c>
    </row>
    <row r="62" spans="1:19">
      <c r="B62">
        <f>B57/B56</f>
        <v>0.94908705908724922</v>
      </c>
      <c r="C62">
        <f t="shared" ref="C62:I62" si="14">C57/C56</f>
        <v>0.98141422764961372</v>
      </c>
      <c r="D62">
        <f t="shared" si="14"/>
        <v>0.95424488858201917</v>
      </c>
      <c r="E62">
        <f t="shared" si="14"/>
        <v>0.977662864136017</v>
      </c>
      <c r="F62">
        <f t="shared" si="14"/>
        <v>1</v>
      </c>
      <c r="G62">
        <f t="shared" si="14"/>
        <v>0.99778085185880583</v>
      </c>
      <c r="H62">
        <f t="shared" si="14"/>
        <v>0.99440588928573648</v>
      </c>
      <c r="I62">
        <f t="shared" si="14"/>
        <v>0.94428615297687046</v>
      </c>
      <c r="K62">
        <f t="shared" ref="K62:P62" si="15">K57/K56</f>
        <v>1</v>
      </c>
      <c r="L62">
        <f t="shared" si="15"/>
        <v>0.98141422764961372</v>
      </c>
      <c r="M62">
        <f t="shared" si="15"/>
        <v>0.99778085185880583</v>
      </c>
      <c r="N62">
        <f t="shared" si="15"/>
        <v>0.99440588928573648</v>
      </c>
      <c r="O62">
        <f t="shared" si="15"/>
        <v>0.94428615297687046</v>
      </c>
      <c r="P62">
        <f t="shared" si="15"/>
        <v>0.95424488858201917</v>
      </c>
      <c r="Q62">
        <f>Q57/Q56</f>
        <v>0.94908705908724922</v>
      </c>
      <c r="R62">
        <f t="shared" ref="R62" si="16">R57/R56</f>
        <v>0.977662864136017</v>
      </c>
    </row>
    <row r="63" spans="1:19">
      <c r="B63">
        <f>B58/B56</f>
        <v>0.94720285459977316</v>
      </c>
      <c r="C63">
        <f t="shared" ref="C63:I63" si="17">C58/C56</f>
        <v>0.98141422764961372</v>
      </c>
      <c r="D63">
        <f t="shared" si="17"/>
        <v>0.9516019461246108</v>
      </c>
      <c r="E63">
        <f t="shared" si="17"/>
        <v>0.97648580364275639</v>
      </c>
      <c r="F63">
        <f t="shared" si="17"/>
        <v>1</v>
      </c>
      <c r="G63">
        <f t="shared" si="17"/>
        <v>0.99710048499598491</v>
      </c>
      <c r="H63">
        <f t="shared" si="17"/>
        <v>0.99244898549843252</v>
      </c>
      <c r="I63">
        <f t="shared" si="17"/>
        <v>0.94350873960521309</v>
      </c>
      <c r="K63">
        <f t="shared" ref="K63:P63" si="18">K58/K56</f>
        <v>1</v>
      </c>
      <c r="L63">
        <f t="shared" si="18"/>
        <v>0.98141422764961372</v>
      </c>
      <c r="M63">
        <f t="shared" si="18"/>
        <v>0.99710048499598491</v>
      </c>
      <c r="N63">
        <f t="shared" si="18"/>
        <v>0.99244898549843252</v>
      </c>
      <c r="O63">
        <f t="shared" si="18"/>
        <v>0.94350873960521309</v>
      </c>
      <c r="P63">
        <f t="shared" si="18"/>
        <v>0.9516019461246108</v>
      </c>
      <c r="Q63">
        <f>Q58/Q56</f>
        <v>0.94720285459977316</v>
      </c>
      <c r="R63">
        <f t="shared" ref="R63" si="19">R58/R56</f>
        <v>0.97648580364275639</v>
      </c>
    </row>
    <row r="64" spans="1:19">
      <c r="B64">
        <f>B59/B56</f>
        <v>0.82984606088653912</v>
      </c>
      <c r="C64">
        <f t="shared" ref="C64:I64" si="20">C59/C56</f>
        <v>0.94217608782340789</v>
      </c>
      <c r="D64">
        <f t="shared" si="20"/>
        <v>0.96687011878573481</v>
      </c>
      <c r="E64">
        <f t="shared" si="20"/>
        <v>0.94210701719880241</v>
      </c>
      <c r="F64">
        <f t="shared" si="20"/>
        <v>0.82383960900734765</v>
      </c>
      <c r="G64">
        <f t="shared" si="20"/>
        <v>0.90893120632602464</v>
      </c>
      <c r="H64">
        <f t="shared" si="20"/>
        <v>0.98159305120555751</v>
      </c>
      <c r="I64">
        <f t="shared" si="20"/>
        <v>0.96865779808625374</v>
      </c>
      <c r="K64">
        <f t="shared" ref="K64:P64" si="21">K59/K56</f>
        <v>0.81408413600369178</v>
      </c>
      <c r="L64">
        <f t="shared" si="21"/>
        <v>0.9420006151776954</v>
      </c>
      <c r="M64">
        <f t="shared" si="21"/>
        <v>0.90893120632602464</v>
      </c>
      <c r="N64">
        <f t="shared" si="21"/>
        <v>0.98159927929961055</v>
      </c>
      <c r="O64">
        <f t="shared" si="21"/>
        <v>0.96869452530984756</v>
      </c>
      <c r="P64">
        <f t="shared" si="21"/>
        <v>0.96929999542989265</v>
      </c>
      <c r="Q64">
        <f>Q59/Q56</f>
        <v>0.82916160838131536</v>
      </c>
      <c r="R64">
        <f t="shared" ref="R64" si="22">R59/R56</f>
        <v>0.94206330994995524</v>
      </c>
      <c r="S64" s="1">
        <f>AVERAGE(K64:R64)</f>
        <v>0.91947933448475416</v>
      </c>
    </row>
    <row r="65" spans="1:19" s="1" customFormat="1">
      <c r="A65" s="12" t="s">
        <v>84</v>
      </c>
      <c r="B65" s="1">
        <f>B59/B57</f>
        <v>0.87436242327928693</v>
      </c>
      <c r="C65" s="1">
        <f t="shared" ref="C65:R65" si="23">C59/C57</f>
        <v>0.96001877828877913</v>
      </c>
      <c r="D65" s="1">
        <f t="shared" si="23"/>
        <v>1.013230597674436</v>
      </c>
      <c r="E65" s="1">
        <f t="shared" si="23"/>
        <v>0.96363179144721212</v>
      </c>
      <c r="F65" s="1">
        <f t="shared" si="23"/>
        <v>0.82383960900734765</v>
      </c>
      <c r="G65" s="1">
        <f t="shared" si="23"/>
        <v>0.91095274541773408</v>
      </c>
      <c r="H65" s="1">
        <f t="shared" si="23"/>
        <v>0.98711508226345857</v>
      </c>
      <c r="I65" s="1">
        <f t="shared" si="23"/>
        <v>1.0258095970512238</v>
      </c>
      <c r="K65" s="1">
        <f t="shared" si="23"/>
        <v>0.81408413600369178</v>
      </c>
      <c r="L65" s="1">
        <f t="shared" si="23"/>
        <v>0.95983998258685332</v>
      </c>
      <c r="M65" s="1">
        <f t="shared" si="23"/>
        <v>0.91095274541773408</v>
      </c>
      <c r="N65" s="1">
        <f t="shared" si="23"/>
        <v>0.98712134539415819</v>
      </c>
      <c r="O65" s="1">
        <f t="shared" si="23"/>
        <v>1.0258484912185035</v>
      </c>
      <c r="P65" s="1">
        <f t="shared" si="23"/>
        <v>1.0157769845330216</v>
      </c>
      <c r="Q65" s="1">
        <f t="shared" si="23"/>
        <v>0.873641253921144</v>
      </c>
      <c r="R65" s="1">
        <f t="shared" si="23"/>
        <v>0.96358708559773121</v>
      </c>
      <c r="S65" s="1">
        <f>AVERAGE(K65:R65)</f>
        <v>0.94385650308410463</v>
      </c>
    </row>
    <row r="66" spans="1:19">
      <c r="A66" s="2" t="s">
        <v>85</v>
      </c>
      <c r="B66">
        <f>B59/B58</f>
        <v>0.8761017313838001</v>
      </c>
      <c r="C66">
        <f t="shared" ref="C66:R66" si="24">C59/C58</f>
        <v>0.96001877828877913</v>
      </c>
      <c r="D66">
        <f t="shared" si="24"/>
        <v>1.0160447051661712</v>
      </c>
      <c r="E66">
        <f t="shared" si="24"/>
        <v>0.96479335765486329</v>
      </c>
      <c r="F66">
        <f t="shared" si="24"/>
        <v>0.82383960900734765</v>
      </c>
      <c r="G66">
        <f t="shared" si="24"/>
        <v>0.91157432977247488</v>
      </c>
      <c r="H66">
        <f t="shared" si="24"/>
        <v>0.98906146869864253</v>
      </c>
      <c r="I66">
        <f t="shared" si="24"/>
        <v>1.0266548230295818</v>
      </c>
      <c r="K66">
        <f t="shared" si="24"/>
        <v>0.81408413600369178</v>
      </c>
      <c r="L66">
        <f t="shared" si="24"/>
        <v>0.95983998258685332</v>
      </c>
      <c r="M66">
        <f t="shared" si="24"/>
        <v>0.91157432977247488</v>
      </c>
      <c r="N66">
        <f t="shared" si="24"/>
        <v>0.98906774417893828</v>
      </c>
      <c r="O66">
        <f t="shared" si="24"/>
        <v>1.026693749244096</v>
      </c>
      <c r="P66">
        <f t="shared" si="24"/>
        <v>1.0185981642611777</v>
      </c>
      <c r="Q66">
        <f t="shared" si="24"/>
        <v>0.8753791274538183</v>
      </c>
      <c r="R66">
        <f t="shared" si="24"/>
        <v>0.96474859791674505</v>
      </c>
      <c r="S66" s="1">
        <f>AVERAGE(K66:R66)</f>
        <v>0.9449982289272244</v>
      </c>
    </row>
    <row r="69" spans="1:19">
      <c r="A69" s="9" t="s">
        <v>77</v>
      </c>
      <c r="B69" s="7">
        <v>410322100242777</v>
      </c>
      <c r="C69" s="7">
        <v>4626661195727</v>
      </c>
      <c r="D69" s="7">
        <v>12784899770318</v>
      </c>
      <c r="E69" s="7">
        <v>4129323720992</v>
      </c>
      <c r="F69" s="7">
        <v>200128882127</v>
      </c>
      <c r="G69" s="7">
        <v>19140848170523</v>
      </c>
      <c r="H69" s="7">
        <v>2086678684373</v>
      </c>
      <c r="I69" s="7">
        <v>3822123855983</v>
      </c>
      <c r="K69" s="7">
        <v>200128882127</v>
      </c>
      <c r="L69" s="7">
        <v>4626661195727</v>
      </c>
      <c r="M69" s="7">
        <v>19140848170523</v>
      </c>
      <c r="N69" s="7">
        <v>2086678684373</v>
      </c>
      <c r="O69" s="7">
        <v>3822123855983</v>
      </c>
      <c r="P69" s="7">
        <v>12784899770318</v>
      </c>
      <c r="Q69" s="7">
        <v>410322100242777</v>
      </c>
      <c r="R69" s="7">
        <v>4129323720992</v>
      </c>
    </row>
    <row r="70" spans="1:19">
      <c r="B70" s="7">
        <v>387180910658771</v>
      </c>
      <c r="C70" s="7">
        <v>4572170605718</v>
      </c>
      <c r="D70" s="7">
        <v>12590967544163</v>
      </c>
      <c r="E70" s="7">
        <v>4052885710540</v>
      </c>
      <c r="F70" s="7">
        <v>200127066203</v>
      </c>
      <c r="G70" s="7">
        <v>19100714385539</v>
      </c>
      <c r="H70" s="7">
        <v>2075898828108</v>
      </c>
      <c r="I70" s="7">
        <v>3629104372375</v>
      </c>
      <c r="K70" s="7">
        <v>200127066203</v>
      </c>
      <c r="L70" s="7">
        <v>4572170605718</v>
      </c>
      <c r="M70" s="7">
        <v>19100714385539</v>
      </c>
      <c r="N70" s="7">
        <v>2075898828108</v>
      </c>
      <c r="O70" s="7">
        <v>3629104372375</v>
      </c>
      <c r="P70" s="7">
        <v>12590967544163</v>
      </c>
      <c r="Q70" s="7">
        <v>387180910658771</v>
      </c>
      <c r="R70" s="7">
        <v>4052885710540</v>
      </c>
    </row>
    <row r="71" spans="1:19">
      <c r="B71" s="7">
        <v>386546497356900</v>
      </c>
      <c r="C71" s="7">
        <v>4572170605718</v>
      </c>
      <c r="D71" s="7">
        <v>12541273594801</v>
      </c>
      <c r="E71" s="7">
        <v>4048602326494</v>
      </c>
      <c r="F71" s="7">
        <v>200127066203</v>
      </c>
      <c r="G71" s="7">
        <v>19089045598384</v>
      </c>
      <c r="H71" s="7">
        <v>2072014611490</v>
      </c>
      <c r="I71" s="7">
        <v>3628475257838</v>
      </c>
      <c r="K71" s="7">
        <v>200127066203</v>
      </c>
      <c r="L71" s="7">
        <v>4572170605718</v>
      </c>
      <c r="M71" s="7">
        <v>19089045598384</v>
      </c>
      <c r="N71" s="7">
        <v>2072014611490</v>
      </c>
      <c r="O71" s="7">
        <v>3628475257838</v>
      </c>
      <c r="P71" s="7">
        <v>12541273594801</v>
      </c>
      <c r="Q71" s="7">
        <v>386546497356900</v>
      </c>
      <c r="R71" s="7">
        <v>4048602326494</v>
      </c>
    </row>
    <row r="72" spans="1:19">
      <c r="B72" s="7">
        <v>250605727320588</v>
      </c>
      <c r="C72" s="7">
        <v>296306243509</v>
      </c>
      <c r="D72" s="7">
        <v>10133398009257</v>
      </c>
      <c r="E72" s="7">
        <v>3162126641334</v>
      </c>
      <c r="F72" s="7">
        <v>49212447523</v>
      </c>
      <c r="G72" s="7">
        <v>16899060858026</v>
      </c>
      <c r="H72" s="7">
        <v>1910429239371</v>
      </c>
      <c r="I72" s="7">
        <v>3382050270345</v>
      </c>
      <c r="K72" s="7">
        <v>43266848330</v>
      </c>
      <c r="L72" s="7">
        <v>294853667530</v>
      </c>
      <c r="M72" s="7">
        <v>16899060858026</v>
      </c>
      <c r="N72" s="7">
        <v>1910440708760</v>
      </c>
      <c r="O72" s="7">
        <v>3382189120405</v>
      </c>
      <c r="P72" s="7">
        <v>10175087911244</v>
      </c>
      <c r="Q72" s="7">
        <v>250420066523041</v>
      </c>
      <c r="R72" s="7">
        <v>3149413274749</v>
      </c>
    </row>
    <row r="73" spans="1:19">
      <c r="B73" s="8" t="s">
        <v>58</v>
      </c>
      <c r="C73" s="8" t="s">
        <v>59</v>
      </c>
      <c r="D73" s="8" t="s">
        <v>60</v>
      </c>
      <c r="E73" s="8" t="s">
        <v>61</v>
      </c>
      <c r="F73" s="8" t="s">
        <v>62</v>
      </c>
      <c r="G73" s="8" t="s">
        <v>47</v>
      </c>
      <c r="H73" s="8" t="s">
        <v>54</v>
      </c>
      <c r="I73" s="8" t="s">
        <v>55</v>
      </c>
      <c r="K73" s="8" t="s">
        <v>62</v>
      </c>
      <c r="L73" s="8" t="s">
        <v>59</v>
      </c>
      <c r="M73" s="8" t="s">
        <v>79</v>
      </c>
      <c r="N73" s="8" t="s">
        <v>80</v>
      </c>
      <c r="O73" s="8" t="s">
        <v>81</v>
      </c>
      <c r="P73" s="8" t="s">
        <v>60</v>
      </c>
      <c r="Q73" s="8" t="s">
        <v>58</v>
      </c>
      <c r="R73" s="8" t="s">
        <v>61</v>
      </c>
    </row>
    <row r="74" spans="1:19">
      <c r="B74" s="7">
        <v>1</v>
      </c>
      <c r="C74" s="7">
        <v>1</v>
      </c>
      <c r="D74" s="7">
        <v>1</v>
      </c>
      <c r="E74" s="7">
        <v>1</v>
      </c>
      <c r="F74" s="7">
        <v>1</v>
      </c>
      <c r="G74" s="7">
        <v>1</v>
      </c>
      <c r="H74" s="7">
        <v>1</v>
      </c>
      <c r="I74" s="7">
        <v>1</v>
      </c>
      <c r="K74" s="7">
        <v>1</v>
      </c>
      <c r="L74" s="7">
        <v>1</v>
      </c>
      <c r="M74" s="7">
        <v>1</v>
      </c>
      <c r="N74" s="7">
        <v>1</v>
      </c>
      <c r="O74" s="7">
        <v>1</v>
      </c>
      <c r="P74" s="7">
        <v>1</v>
      </c>
      <c r="Q74" s="7">
        <v>1</v>
      </c>
      <c r="R74" s="7">
        <v>1</v>
      </c>
    </row>
    <row r="75" spans="1:19">
      <c r="B75">
        <f>B70/B69</f>
        <v>0.94360238073865887</v>
      </c>
      <c r="C75">
        <f t="shared" ref="C75:I75" si="25">C70/C69</f>
        <v>0.98822248102814936</v>
      </c>
      <c r="D75">
        <f t="shared" si="25"/>
        <v>0.98483115005678479</v>
      </c>
      <c r="E75">
        <f t="shared" si="25"/>
        <v>0.98148897601236329</v>
      </c>
      <c r="F75">
        <f t="shared" si="25"/>
        <v>0.99999092622723562</v>
      </c>
      <c r="G75">
        <f t="shared" si="25"/>
        <v>0.99790323894602506</v>
      </c>
      <c r="H75">
        <f t="shared" si="25"/>
        <v>0.9948339644499512</v>
      </c>
      <c r="I75">
        <f t="shared" si="25"/>
        <v>0.94949941684755845</v>
      </c>
      <c r="K75">
        <f t="shared" ref="K75:L75" si="26">K70/K69</f>
        <v>0.99999092622723562</v>
      </c>
      <c r="L75">
        <f t="shared" si="26"/>
        <v>0.98822248102814936</v>
      </c>
      <c r="M75">
        <f>M70/M69</f>
        <v>0.99790323894602506</v>
      </c>
      <c r="N75">
        <f>N70/N69</f>
        <v>0.9948339644499512</v>
      </c>
      <c r="O75">
        <f>O70/O69</f>
        <v>0.94949941684755845</v>
      </c>
      <c r="P75">
        <f t="shared" ref="P75" si="27">P70/P69</f>
        <v>0.98483115005678479</v>
      </c>
      <c r="Q75">
        <f>Q70/Q69</f>
        <v>0.94360238073865887</v>
      </c>
      <c r="R75">
        <f t="shared" ref="R75" si="28">R70/R69</f>
        <v>0.98148897601236329</v>
      </c>
    </row>
    <row r="76" spans="1:19">
      <c r="B76">
        <f>B71/B69</f>
        <v>0.94205624588144388</v>
      </c>
      <c r="C76">
        <f t="shared" ref="C76:I76" si="29">C71/C69</f>
        <v>0.98822248102814936</v>
      </c>
      <c r="D76">
        <f t="shared" si="29"/>
        <v>0.98094422483603561</v>
      </c>
      <c r="E76">
        <f t="shared" si="29"/>
        <v>0.98045166716098298</v>
      </c>
      <c r="F76">
        <f t="shared" si="29"/>
        <v>0.99999092622723562</v>
      </c>
      <c r="G76">
        <f t="shared" si="29"/>
        <v>0.99729361145976925</v>
      </c>
      <c r="H76">
        <f t="shared" si="29"/>
        <v>0.99297252950690573</v>
      </c>
      <c r="I76">
        <f t="shared" si="29"/>
        <v>0.94933481869200287</v>
      </c>
      <c r="K76">
        <f t="shared" ref="K76:L76" si="30">K71/K69</f>
        <v>0.99999092622723562</v>
      </c>
      <c r="L76">
        <f t="shared" si="30"/>
        <v>0.98822248102814936</v>
      </c>
      <c r="M76">
        <f>M71/M69</f>
        <v>0.99729361145976925</v>
      </c>
      <c r="N76">
        <f>N71/N69</f>
        <v>0.99297252950690573</v>
      </c>
      <c r="O76">
        <f>O71/O69</f>
        <v>0.94933481869200287</v>
      </c>
      <c r="P76">
        <f t="shared" ref="P76" si="31">P71/P69</f>
        <v>0.98094422483603561</v>
      </c>
      <c r="Q76">
        <f>Q71/Q69</f>
        <v>0.94205624588144388</v>
      </c>
      <c r="R76">
        <f t="shared" ref="R76" si="32">R71/R69</f>
        <v>0.98045166716098298</v>
      </c>
    </row>
    <row r="77" spans="1:19">
      <c r="B77">
        <f>B72/B69</f>
        <v>0.61075366686881127</v>
      </c>
      <c r="C77">
        <f t="shared" ref="C77:I77" si="33">C72/C69</f>
        <v>6.4043211934916841E-2</v>
      </c>
      <c r="D77">
        <f t="shared" si="33"/>
        <v>0.79260676198519397</v>
      </c>
      <c r="E77">
        <f t="shared" si="33"/>
        <v>0.76577349100989178</v>
      </c>
      <c r="F77">
        <f t="shared" si="33"/>
        <v>0.2459037746074563</v>
      </c>
      <c r="G77">
        <f t="shared" si="33"/>
        <v>0.88287941618233179</v>
      </c>
      <c r="H77">
        <f t="shared" si="33"/>
        <v>0.91553589619622777</v>
      </c>
      <c r="I77">
        <f t="shared" si="33"/>
        <v>0.88486150574395273</v>
      </c>
      <c r="K77">
        <f t="shared" ref="K77:L77" si="34">K72/K69</f>
        <v>0.21619492334216531</v>
      </c>
      <c r="L77">
        <f t="shared" si="34"/>
        <v>6.3729254219503928E-2</v>
      </c>
      <c r="M77">
        <f>M72/M69</f>
        <v>0.88287941618233179</v>
      </c>
      <c r="N77">
        <f>N72/N69</f>
        <v>0.91554139267687229</v>
      </c>
      <c r="O77">
        <f>O72/O69</f>
        <v>0.88489783372944764</v>
      </c>
      <c r="P77">
        <f t="shared" ref="P77" si="35">P72/P69</f>
        <v>0.79586763244456116</v>
      </c>
      <c r="Q77">
        <f>Q72/Q69</f>
        <v>0.61030119112490877</v>
      </c>
      <c r="R77">
        <f t="shared" ref="R77" si="36">R72/R69</f>
        <v>0.76269468986858868</v>
      </c>
      <c r="S77" s="1">
        <f>AVERAGE(K77:R77)</f>
        <v>0.64151329169854743</v>
      </c>
    </row>
    <row r="78" spans="1:19" s="1" customFormat="1">
      <c r="A78" s="12" t="s">
        <v>84</v>
      </c>
      <c r="B78" s="1">
        <f>B72/B70</f>
        <v>0.64725744586476008</v>
      </c>
      <c r="C78" s="1">
        <f t="shared" ref="C78:R78" si="37">C72/C70</f>
        <v>6.4806471381106512E-2</v>
      </c>
      <c r="D78" s="1">
        <f t="shared" si="37"/>
        <v>0.80481487810320851</v>
      </c>
      <c r="E78" s="1">
        <f t="shared" si="37"/>
        <v>0.78021608976303536</v>
      </c>
      <c r="F78" s="1">
        <f t="shared" si="37"/>
        <v>0.24590600590267525</v>
      </c>
      <c r="G78" s="1">
        <f t="shared" si="37"/>
        <v>0.8847344930103842</v>
      </c>
      <c r="H78" s="1">
        <f t="shared" si="37"/>
        <v>0.92029014781620588</v>
      </c>
      <c r="I78" s="1">
        <f t="shared" si="37"/>
        <v>0.93192422243058282</v>
      </c>
      <c r="K78" s="1">
        <f t="shared" si="37"/>
        <v>0.21619688506357274</v>
      </c>
      <c r="L78" s="1">
        <f t="shared" si="37"/>
        <v>6.4488771954671426E-2</v>
      </c>
      <c r="M78" s="1">
        <f t="shared" si="37"/>
        <v>0.8847344930103842</v>
      </c>
      <c r="N78" s="1">
        <f t="shared" si="37"/>
        <v>0.92029567283931624</v>
      </c>
      <c r="O78" s="1">
        <f t="shared" si="37"/>
        <v>0.93196248257571856</v>
      </c>
      <c r="P78" s="1">
        <f t="shared" si="37"/>
        <v>0.80812597408060438</v>
      </c>
      <c r="Q78" s="1">
        <f t="shared" si="37"/>
        <v>0.64677792636254317</v>
      </c>
      <c r="R78" s="1">
        <f t="shared" si="37"/>
        <v>0.77707922198708568</v>
      </c>
      <c r="S78" s="1">
        <f>AVERAGE(K78:R78)</f>
        <v>0.656207678484237</v>
      </c>
    </row>
    <row r="79" spans="1:19">
      <c r="A79" s="2" t="s">
        <v>85</v>
      </c>
      <c r="B79">
        <f>B72/B71</f>
        <v>0.64831974687175264</v>
      </c>
      <c r="C79">
        <f t="shared" ref="C79:R79" si="38">C72/C71</f>
        <v>6.4806471381106512E-2</v>
      </c>
      <c r="D79">
        <f t="shared" si="38"/>
        <v>0.80800390268639166</v>
      </c>
      <c r="E79">
        <f t="shared" si="38"/>
        <v>0.78104155121412766</v>
      </c>
      <c r="F79">
        <f t="shared" si="38"/>
        <v>0.24590600590267525</v>
      </c>
      <c r="G79">
        <f t="shared" si="38"/>
        <v>0.88527531515020352</v>
      </c>
      <c r="H79">
        <f t="shared" si="38"/>
        <v>0.92201533173417016</v>
      </c>
      <c r="I79">
        <f t="shared" si="38"/>
        <v>0.9320858018913899</v>
      </c>
      <c r="K79">
        <f t="shared" si="38"/>
        <v>0.21619688506357274</v>
      </c>
      <c r="L79">
        <f t="shared" si="38"/>
        <v>6.4488771954671426E-2</v>
      </c>
      <c r="M79">
        <f t="shared" si="38"/>
        <v>0.88527531515020352</v>
      </c>
      <c r="N79">
        <f t="shared" si="38"/>
        <v>0.9220208671145369</v>
      </c>
      <c r="O79">
        <f t="shared" si="38"/>
        <v>0.93212406867016984</v>
      </c>
      <c r="P79">
        <f t="shared" si="38"/>
        <v>0.81132811865790844</v>
      </c>
      <c r="Q79">
        <f t="shared" si="38"/>
        <v>0.64783944036576568</v>
      </c>
      <c r="R79">
        <f t="shared" si="38"/>
        <v>0.77790136466090565</v>
      </c>
      <c r="S79" s="1">
        <f>AVERAGE(K79:R79)</f>
        <v>0.65714685395471684</v>
      </c>
    </row>
    <row r="83" spans="1:19">
      <c r="A83" s="2" t="s">
        <v>78</v>
      </c>
      <c r="B83" s="7">
        <v>0.86484399999999995</v>
      </c>
      <c r="C83" s="7">
        <v>0.94011299999999998</v>
      </c>
      <c r="D83" s="7">
        <v>0.95885600000000004</v>
      </c>
      <c r="E83" s="7">
        <v>0.97974499999999998</v>
      </c>
      <c r="F83" s="7">
        <v>0.979545</v>
      </c>
      <c r="G83" s="7">
        <v>0.95523999999999998</v>
      </c>
      <c r="H83" s="7">
        <v>0.97048800000000002</v>
      </c>
      <c r="I83" s="7">
        <v>0.88124800000000003</v>
      </c>
      <c r="K83" s="7">
        <v>0.98636400000000002</v>
      </c>
      <c r="L83" s="7">
        <v>0.94526600000000005</v>
      </c>
      <c r="M83" s="7">
        <v>0.95926</v>
      </c>
      <c r="N83" s="7">
        <v>0.97409699999999999</v>
      </c>
      <c r="O83" s="7">
        <v>0.89073899999999995</v>
      </c>
      <c r="P83" s="7">
        <v>0.96160599999999996</v>
      </c>
      <c r="Q83" s="7">
        <v>0.87098500000000001</v>
      </c>
      <c r="R83" s="7">
        <v>0.98099899999999995</v>
      </c>
    </row>
    <row r="84" spans="1:19">
      <c r="B84" s="7">
        <v>0.86487400000000003</v>
      </c>
      <c r="C84" s="7">
        <v>0.94011299999999998</v>
      </c>
      <c r="D84" s="7">
        <v>0.95895300000000006</v>
      </c>
      <c r="E84" s="7">
        <v>0.97975100000000004</v>
      </c>
      <c r="F84" s="7">
        <v>0.979545</v>
      </c>
      <c r="G84" s="7">
        <v>0.95524500000000001</v>
      </c>
      <c r="H84" s="7">
        <v>0.97049399999999997</v>
      </c>
      <c r="I84" s="7">
        <v>0.88124999999999998</v>
      </c>
      <c r="K84" s="7">
        <v>0.98636400000000002</v>
      </c>
      <c r="L84" s="7">
        <v>0.94526600000000005</v>
      </c>
      <c r="M84" s="7">
        <v>0.95926400000000001</v>
      </c>
      <c r="N84" s="7">
        <v>0.97410200000000002</v>
      </c>
      <c r="O84" s="7">
        <v>0.89073899999999995</v>
      </c>
      <c r="P84" s="7">
        <v>0.96169400000000005</v>
      </c>
      <c r="Q84" s="7">
        <v>0.87101399999999995</v>
      </c>
      <c r="R84" s="7">
        <v>0.98100399999999999</v>
      </c>
    </row>
    <row r="85" spans="1:19">
      <c r="B85" s="7">
        <v>0.86507299999999998</v>
      </c>
      <c r="C85" s="7">
        <v>0.94011299999999998</v>
      </c>
      <c r="D85" s="7">
        <v>0.95926299999999998</v>
      </c>
      <c r="E85" s="7">
        <v>0.97975299999999999</v>
      </c>
      <c r="F85" s="7">
        <v>0.979545</v>
      </c>
      <c r="G85" s="7">
        <v>0.95527399999999996</v>
      </c>
      <c r="H85" s="7">
        <v>0.97052099999999997</v>
      </c>
      <c r="I85" s="7">
        <v>0.88128499999999999</v>
      </c>
      <c r="K85" s="7">
        <v>0.98636400000000002</v>
      </c>
      <c r="L85" s="7">
        <v>0.94526600000000005</v>
      </c>
      <c r="M85" s="7">
        <v>0.959291</v>
      </c>
      <c r="N85" s="7">
        <v>0.97412299999999996</v>
      </c>
      <c r="O85" s="7">
        <v>0.89076599999999995</v>
      </c>
      <c r="P85" s="7">
        <v>0.96197100000000002</v>
      </c>
      <c r="Q85" s="7">
        <v>0.87120900000000001</v>
      </c>
      <c r="R85" s="7">
        <v>0.98100600000000004</v>
      </c>
    </row>
    <row r="86" spans="1:19">
      <c r="B86" s="7">
        <v>0.86202000000000001</v>
      </c>
      <c r="C86" s="7">
        <v>0.89806900000000001</v>
      </c>
      <c r="D86" s="7">
        <v>0.94384999999999997</v>
      </c>
      <c r="E86" s="7">
        <v>0.96551100000000001</v>
      </c>
      <c r="F86" s="7">
        <v>0.979545</v>
      </c>
      <c r="G86" s="7">
        <v>0.95440499999999995</v>
      </c>
      <c r="H86" s="7">
        <v>0.96604000000000001</v>
      </c>
      <c r="I86" s="7">
        <v>0.88029400000000002</v>
      </c>
      <c r="K86" s="7">
        <v>0.55681800000000004</v>
      </c>
      <c r="L86" s="7">
        <v>0.90524700000000002</v>
      </c>
      <c r="M86" s="7">
        <v>0.95849300000000004</v>
      </c>
      <c r="N86" s="7">
        <v>0.97038000000000002</v>
      </c>
      <c r="O86" s="7">
        <v>0.88914800000000005</v>
      </c>
      <c r="P86" s="7">
        <v>0.94807399999999997</v>
      </c>
      <c r="Q86" s="7">
        <v>0.86846199999999996</v>
      </c>
      <c r="R86" s="7">
        <v>0.96959799999999996</v>
      </c>
    </row>
    <row r="87" spans="1:19">
      <c r="B87" s="8" t="s">
        <v>58</v>
      </c>
      <c r="C87" s="8" t="s">
        <v>59</v>
      </c>
      <c r="D87" s="8" t="s">
        <v>60</v>
      </c>
      <c r="E87" s="8" t="s">
        <v>61</v>
      </c>
      <c r="F87" s="8" t="s">
        <v>62</v>
      </c>
      <c r="G87" s="8" t="s">
        <v>47</v>
      </c>
      <c r="H87" s="8" t="s">
        <v>54</v>
      </c>
      <c r="I87" s="8" t="s">
        <v>55</v>
      </c>
      <c r="K87" s="8" t="s">
        <v>62</v>
      </c>
      <c r="L87" s="8" t="s">
        <v>59</v>
      </c>
      <c r="M87" s="8" t="s">
        <v>79</v>
      </c>
      <c r="N87" s="8" t="s">
        <v>80</v>
      </c>
      <c r="O87" s="8" t="s">
        <v>81</v>
      </c>
      <c r="P87" s="8" t="s">
        <v>60</v>
      </c>
      <c r="Q87" s="8" t="s">
        <v>58</v>
      </c>
      <c r="R87" s="8" t="s">
        <v>61</v>
      </c>
    </row>
    <row r="88" spans="1:19">
      <c r="B88" s="7">
        <v>1</v>
      </c>
      <c r="C88" s="7">
        <v>1</v>
      </c>
      <c r="D88" s="7">
        <v>1</v>
      </c>
      <c r="E88" s="7">
        <v>1</v>
      </c>
      <c r="F88" s="7">
        <v>1</v>
      </c>
      <c r="G88" s="7">
        <v>1</v>
      </c>
      <c r="H88" s="7">
        <v>1</v>
      </c>
      <c r="I88" s="7">
        <v>1</v>
      </c>
      <c r="K88" s="7">
        <v>1</v>
      </c>
      <c r="L88" s="7">
        <v>1</v>
      </c>
      <c r="M88" s="7">
        <v>1</v>
      </c>
      <c r="N88" s="7">
        <v>1</v>
      </c>
      <c r="O88" s="7">
        <v>1</v>
      </c>
      <c r="P88" s="7">
        <v>1</v>
      </c>
      <c r="Q88" s="7">
        <v>1</v>
      </c>
      <c r="R88" s="7">
        <v>1</v>
      </c>
    </row>
    <row r="89" spans="1:19">
      <c r="B89">
        <f>B84/B83</f>
        <v>1.0000346883368563</v>
      </c>
      <c r="C89">
        <f t="shared" ref="C89:I89" si="39">C84/C83</f>
        <v>1</v>
      </c>
      <c r="D89">
        <f t="shared" si="39"/>
        <v>1.0001011622183102</v>
      </c>
      <c r="E89">
        <f t="shared" si="39"/>
        <v>1.0000061240424805</v>
      </c>
      <c r="F89">
        <f t="shared" si="39"/>
        <v>1</v>
      </c>
      <c r="G89">
        <f t="shared" si="39"/>
        <v>1.0000052342866714</v>
      </c>
      <c r="H89">
        <f t="shared" si="39"/>
        <v>1.0000061824566608</v>
      </c>
      <c r="I89">
        <f t="shared" si="39"/>
        <v>1.0000022695086968</v>
      </c>
      <c r="K89">
        <f t="shared" ref="K89:P89" si="40">K84/K83</f>
        <v>1</v>
      </c>
      <c r="L89">
        <f t="shared" si="40"/>
        <v>1</v>
      </c>
      <c r="M89">
        <f t="shared" si="40"/>
        <v>1.0000041698809499</v>
      </c>
      <c r="N89">
        <f t="shared" si="40"/>
        <v>1.000005132959038</v>
      </c>
      <c r="O89">
        <f t="shared" si="40"/>
        <v>1</v>
      </c>
      <c r="P89">
        <f t="shared" si="40"/>
        <v>1.0000915135720867</v>
      </c>
      <c r="Q89">
        <f>Q84/Q83</f>
        <v>1.0000332956365494</v>
      </c>
      <c r="R89">
        <f t="shared" ref="R89" si="41">R84/R83</f>
        <v>1.0000050968451548</v>
      </c>
    </row>
    <row r="90" spans="1:19">
      <c r="B90">
        <f>B85/B83</f>
        <v>1.0002647876380018</v>
      </c>
      <c r="C90">
        <f t="shared" ref="C90:I90" si="42">C85/C83</f>
        <v>1</v>
      </c>
      <c r="D90">
        <f t="shared" si="42"/>
        <v>1.0004244641531157</v>
      </c>
      <c r="E90">
        <f t="shared" si="42"/>
        <v>1.0000081653899739</v>
      </c>
      <c r="F90">
        <f t="shared" si="42"/>
        <v>1</v>
      </c>
      <c r="G90">
        <f t="shared" si="42"/>
        <v>1.0000355931493656</v>
      </c>
      <c r="H90">
        <f t="shared" si="42"/>
        <v>1.0000340035116353</v>
      </c>
      <c r="I90">
        <f t="shared" si="42"/>
        <v>1.00004198591089</v>
      </c>
      <c r="K90">
        <f t="shared" ref="K90:P90" si="43">K85/K83</f>
        <v>1</v>
      </c>
      <c r="L90">
        <f t="shared" si="43"/>
        <v>1</v>
      </c>
      <c r="M90">
        <f t="shared" si="43"/>
        <v>1.0000323165773617</v>
      </c>
      <c r="N90">
        <f t="shared" si="43"/>
        <v>1.0000266913869973</v>
      </c>
      <c r="O90">
        <f t="shared" si="43"/>
        <v>1.0000303119095493</v>
      </c>
      <c r="P90">
        <f t="shared" si="43"/>
        <v>1.0003795733387688</v>
      </c>
      <c r="Q90">
        <f>Q85/Q83</f>
        <v>1.0002571800892093</v>
      </c>
      <c r="R90">
        <f t="shared" ref="R90" si="44">R85/R83</f>
        <v>1.0000071355832167</v>
      </c>
    </row>
    <row r="91" spans="1:19">
      <c r="B91">
        <f>B86/B83</f>
        <v>0.99673467122394332</v>
      </c>
      <c r="C91">
        <f t="shared" ref="C91:I91" si="45">C86/C83</f>
        <v>0.95527771661491756</v>
      </c>
      <c r="D91">
        <f t="shared" si="45"/>
        <v>0.98435010053647254</v>
      </c>
      <c r="E91">
        <f t="shared" si="45"/>
        <v>0.98547172988889964</v>
      </c>
      <c r="F91">
        <f t="shared" si="45"/>
        <v>1</v>
      </c>
      <c r="G91">
        <f t="shared" si="45"/>
        <v>0.99912587412587406</v>
      </c>
      <c r="H91">
        <f t="shared" si="45"/>
        <v>0.99541673879532766</v>
      </c>
      <c r="I91">
        <f t="shared" si="45"/>
        <v>0.99891744435164675</v>
      </c>
      <c r="K91" s="13">
        <v>0.98636400000000002</v>
      </c>
      <c r="L91">
        <f t="shared" ref="L91:P91" si="46">L86/L83</f>
        <v>0.95766376871695369</v>
      </c>
      <c r="M91">
        <f t="shared" si="46"/>
        <v>0.99920042532785691</v>
      </c>
      <c r="N91">
        <f t="shared" si="46"/>
        <v>0.99618415825118034</v>
      </c>
      <c r="O91">
        <f t="shared" si="46"/>
        <v>0.99821384266322699</v>
      </c>
      <c r="P91">
        <f t="shared" si="46"/>
        <v>0.98592770843775934</v>
      </c>
      <c r="Q91">
        <f>Q86/Q83</f>
        <v>0.99710327962020007</v>
      </c>
      <c r="R91">
        <f t="shared" ref="R91" si="47">R86/R83</f>
        <v>0.9883781736780568</v>
      </c>
      <c r="S91">
        <f>AVERAGE(K91:R91)</f>
        <v>0.98862941958690431</v>
      </c>
    </row>
    <row r="94" spans="1:19">
      <c r="B94" s="8" t="s">
        <v>58</v>
      </c>
      <c r="C94" s="8" t="s">
        <v>59</v>
      </c>
      <c r="D94" s="8" t="s">
        <v>60</v>
      </c>
      <c r="E94" s="8" t="s">
        <v>61</v>
      </c>
      <c r="F94" s="8" t="s">
        <v>62</v>
      </c>
      <c r="G94" s="8" t="s">
        <v>47</v>
      </c>
      <c r="H94" s="8" t="s">
        <v>54</v>
      </c>
      <c r="I94" s="8" t="s">
        <v>55</v>
      </c>
      <c r="K94" s="8" t="s">
        <v>62</v>
      </c>
      <c r="L94" s="8" t="s">
        <v>59</v>
      </c>
      <c r="M94" s="8" t="s">
        <v>79</v>
      </c>
      <c r="N94" s="8" t="s">
        <v>80</v>
      </c>
      <c r="O94" s="8" t="s">
        <v>81</v>
      </c>
      <c r="P94" s="8" t="s">
        <v>60</v>
      </c>
      <c r="Q94" s="8" t="s">
        <v>58</v>
      </c>
      <c r="R94" s="8" t="s">
        <v>61</v>
      </c>
    </row>
    <row r="95" spans="1:19">
      <c r="A95" s="7" t="s">
        <v>73</v>
      </c>
      <c r="B95" s="7">
        <v>0.18632399999999999</v>
      </c>
      <c r="C95" s="7">
        <v>0.91139899999999996</v>
      </c>
      <c r="D95" s="7">
        <v>0.17260700000000001</v>
      </c>
      <c r="E95" s="7">
        <v>0.44912999999999997</v>
      </c>
      <c r="F95" s="7">
        <v>0.700156</v>
      </c>
      <c r="G95" s="7">
        <v>0.71908799999999995</v>
      </c>
      <c r="H95" s="7">
        <v>0.79853600000000002</v>
      </c>
      <c r="I95" s="7">
        <v>0.77731899999999998</v>
      </c>
      <c r="K95" s="7">
        <v>0.73618799999999995</v>
      </c>
      <c r="L95" s="7">
        <v>0.92830900000000005</v>
      </c>
      <c r="M95" s="7">
        <v>0.71908799999999995</v>
      </c>
      <c r="N95" s="7">
        <v>0.79852599999999996</v>
      </c>
      <c r="O95" s="7">
        <v>0.77739000000000003</v>
      </c>
      <c r="P95" s="7">
        <v>0.17274</v>
      </c>
      <c r="Q95" s="7">
        <v>0.18632399999999999</v>
      </c>
      <c r="R95" s="7">
        <v>0.453042</v>
      </c>
    </row>
    <row r="98" spans="1:18">
      <c r="A98" s="2" t="s">
        <v>86</v>
      </c>
      <c r="B98" s="7">
        <v>11862</v>
      </c>
      <c r="C98" s="7">
        <v>0</v>
      </c>
      <c r="D98" s="7">
        <v>4414</v>
      </c>
      <c r="E98" s="7">
        <v>1070</v>
      </c>
      <c r="F98" s="7">
        <v>0</v>
      </c>
      <c r="G98" s="7">
        <v>1956</v>
      </c>
      <c r="H98" s="7">
        <v>1368</v>
      </c>
      <c r="I98" s="7">
        <v>1836</v>
      </c>
      <c r="K98" s="7">
        <v>0</v>
      </c>
      <c r="L98" s="7">
        <v>0</v>
      </c>
      <c r="M98" s="7">
        <v>1956</v>
      </c>
      <c r="N98" s="7">
        <v>1368</v>
      </c>
      <c r="O98" s="7">
        <v>1836</v>
      </c>
      <c r="P98" s="7">
        <v>4414</v>
      </c>
      <c r="Q98" s="7">
        <v>11862</v>
      </c>
      <c r="R98" s="7">
        <v>1070</v>
      </c>
    </row>
    <row r="99" spans="1:18">
      <c r="B99" s="7">
        <v>11856</v>
      </c>
      <c r="C99" s="7">
        <v>0</v>
      </c>
      <c r="D99" s="7">
        <v>4406</v>
      </c>
      <c r="E99" s="7">
        <v>1074</v>
      </c>
      <c r="F99" s="7">
        <v>0</v>
      </c>
      <c r="G99" s="7">
        <v>1956</v>
      </c>
      <c r="H99" s="7">
        <v>1368</v>
      </c>
      <c r="I99" s="7">
        <v>1836</v>
      </c>
      <c r="K99" s="7">
        <v>0</v>
      </c>
      <c r="L99" s="7">
        <v>0</v>
      </c>
      <c r="M99" s="7">
        <v>1956</v>
      </c>
      <c r="N99" s="7">
        <v>1368</v>
      </c>
      <c r="O99" s="7">
        <v>1836</v>
      </c>
      <c r="P99" s="7">
        <v>4406</v>
      </c>
      <c r="Q99" s="7">
        <v>11856</v>
      </c>
      <c r="R99" s="7">
        <v>1074</v>
      </c>
    </row>
    <row r="100" spans="1:18">
      <c r="B100" s="7">
        <v>11860</v>
      </c>
      <c r="C100" s="7">
        <v>0</v>
      </c>
      <c r="D100" s="7">
        <v>4410</v>
      </c>
      <c r="E100" s="7">
        <v>1072</v>
      </c>
      <c r="F100" s="7">
        <v>0</v>
      </c>
      <c r="G100" s="7">
        <v>1956</v>
      </c>
      <c r="H100" s="7">
        <v>1368</v>
      </c>
      <c r="I100" s="7">
        <v>1834</v>
      </c>
      <c r="K100" s="7">
        <v>0</v>
      </c>
      <c r="L100" s="7">
        <v>0</v>
      </c>
      <c r="M100" s="7">
        <v>1956</v>
      </c>
      <c r="N100" s="7">
        <v>1368</v>
      </c>
      <c r="O100" s="7">
        <v>1834</v>
      </c>
      <c r="P100" s="7">
        <v>4410</v>
      </c>
      <c r="Q100" s="7">
        <v>11860</v>
      </c>
      <c r="R100" s="7">
        <v>1072</v>
      </c>
    </row>
    <row r="101" spans="1:18">
      <c r="B101" s="7">
        <v>11858</v>
      </c>
      <c r="C101" s="7">
        <v>0</v>
      </c>
      <c r="D101" s="7">
        <v>4416</v>
      </c>
      <c r="E101" s="7">
        <v>1072</v>
      </c>
      <c r="F101" s="7">
        <v>0</v>
      </c>
      <c r="G101" s="7">
        <v>1956</v>
      </c>
      <c r="H101" s="7">
        <v>1368</v>
      </c>
      <c r="I101" s="7">
        <v>1834</v>
      </c>
      <c r="K101" s="7">
        <v>0</v>
      </c>
      <c r="L101" s="7">
        <v>0</v>
      </c>
      <c r="M101" s="7">
        <v>1956</v>
      </c>
      <c r="N101" s="7">
        <v>1368</v>
      </c>
      <c r="O101" s="7">
        <v>1834</v>
      </c>
      <c r="P101" s="7">
        <v>4412</v>
      </c>
      <c r="Q101" s="7">
        <v>11856</v>
      </c>
      <c r="R101" s="7">
        <v>1072</v>
      </c>
    </row>
    <row r="102" spans="1:18">
      <c r="B102" s="8" t="s">
        <v>58</v>
      </c>
      <c r="C102" s="8" t="s">
        <v>59</v>
      </c>
      <c r="D102" s="8" t="s">
        <v>60</v>
      </c>
      <c r="E102" s="8" t="s">
        <v>61</v>
      </c>
      <c r="F102" s="8" t="s">
        <v>62</v>
      </c>
      <c r="G102" s="8" t="s">
        <v>47</v>
      </c>
      <c r="H102" s="8" t="s">
        <v>54</v>
      </c>
      <c r="I102" s="8" t="s">
        <v>55</v>
      </c>
      <c r="K102" s="8" t="s">
        <v>62</v>
      </c>
      <c r="L102" s="8" t="s">
        <v>59</v>
      </c>
      <c r="M102" s="8" t="s">
        <v>79</v>
      </c>
      <c r="N102" s="8" t="s">
        <v>80</v>
      </c>
      <c r="O102" s="8" t="s">
        <v>81</v>
      </c>
      <c r="P102" s="8" t="s">
        <v>60</v>
      </c>
      <c r="Q102" s="8" t="s">
        <v>58</v>
      </c>
      <c r="R102" s="8" t="s">
        <v>61</v>
      </c>
    </row>
    <row r="103" spans="1:18">
      <c r="B103" s="7">
        <v>1</v>
      </c>
      <c r="C103" s="7">
        <v>1</v>
      </c>
      <c r="D103" s="7">
        <v>1</v>
      </c>
      <c r="E103" s="7">
        <v>1</v>
      </c>
      <c r="F103" s="7">
        <v>1</v>
      </c>
      <c r="G103" s="7">
        <v>1</v>
      </c>
      <c r="H103" s="7">
        <v>1</v>
      </c>
      <c r="I103" s="7">
        <v>1</v>
      </c>
      <c r="K103" s="7">
        <v>1</v>
      </c>
      <c r="L103" s="7">
        <v>1</v>
      </c>
      <c r="M103" s="7">
        <v>1</v>
      </c>
      <c r="N103" s="7">
        <v>1</v>
      </c>
      <c r="O103" s="7">
        <v>1</v>
      </c>
      <c r="P103" s="7">
        <v>1</v>
      </c>
      <c r="Q103" s="7">
        <v>1</v>
      </c>
      <c r="R103" s="7">
        <v>1</v>
      </c>
    </row>
    <row r="104" spans="1:18">
      <c r="B104">
        <f>B99/B98</f>
        <v>0.99949418310571569</v>
      </c>
      <c r="C104">
        <v>1</v>
      </c>
      <c r="D104">
        <f t="shared" ref="D104:I104" si="48">D99/D98</f>
        <v>0.99818758495695514</v>
      </c>
      <c r="E104">
        <f t="shared" si="48"/>
        <v>1.0037383177570094</v>
      </c>
      <c r="F104">
        <v>1</v>
      </c>
      <c r="G104">
        <f t="shared" si="48"/>
        <v>1</v>
      </c>
      <c r="H104">
        <f t="shared" si="48"/>
        <v>1</v>
      </c>
      <c r="I104">
        <f t="shared" si="48"/>
        <v>1</v>
      </c>
      <c r="K104">
        <v>1</v>
      </c>
      <c r="L104">
        <v>1</v>
      </c>
      <c r="M104">
        <f t="shared" ref="M104:P104" si="49">M99/M98</f>
        <v>1</v>
      </c>
      <c r="N104">
        <f t="shared" si="49"/>
        <v>1</v>
      </c>
      <c r="O104">
        <f t="shared" si="49"/>
        <v>1</v>
      </c>
      <c r="P104">
        <f t="shared" si="49"/>
        <v>0.99818758495695514</v>
      </c>
      <c r="Q104">
        <f>Q99/Q98</f>
        <v>0.99949418310571569</v>
      </c>
      <c r="R104">
        <f t="shared" ref="R104" si="50">R99/R98</f>
        <v>1.0037383177570094</v>
      </c>
    </row>
    <row r="105" spans="1:18">
      <c r="B105">
        <f>B100/B98</f>
        <v>0.99983139436857194</v>
      </c>
      <c r="C105">
        <v>1</v>
      </c>
      <c r="D105">
        <f t="shared" ref="D105:I105" si="51">D100/D98</f>
        <v>0.99909379247847752</v>
      </c>
      <c r="E105">
        <f t="shared" si="51"/>
        <v>1.0018691588785047</v>
      </c>
      <c r="F105">
        <v>1</v>
      </c>
      <c r="G105">
        <f t="shared" si="51"/>
        <v>1</v>
      </c>
      <c r="H105">
        <f t="shared" si="51"/>
        <v>1</v>
      </c>
      <c r="I105">
        <f t="shared" si="51"/>
        <v>0.99891067538126366</v>
      </c>
      <c r="K105">
        <v>1</v>
      </c>
      <c r="L105">
        <v>1</v>
      </c>
      <c r="M105">
        <f t="shared" ref="M105:P105" si="52">M100/M98</f>
        <v>1</v>
      </c>
      <c r="N105">
        <f t="shared" si="52"/>
        <v>1</v>
      </c>
      <c r="O105">
        <f t="shared" si="52"/>
        <v>0.99891067538126366</v>
      </c>
      <c r="P105">
        <f t="shared" si="52"/>
        <v>0.99909379247847752</v>
      </c>
      <c r="Q105">
        <f>Q100/Q98</f>
        <v>0.99983139436857194</v>
      </c>
      <c r="R105">
        <f t="shared" ref="R105" si="53">R100/R98</f>
        <v>1.0018691588785047</v>
      </c>
    </row>
    <row r="106" spans="1:18">
      <c r="B106">
        <f>B101/B98</f>
        <v>0.99966278873714387</v>
      </c>
      <c r="C106">
        <v>1</v>
      </c>
      <c r="D106">
        <f t="shared" ref="D106:I106" si="54">D101/D98</f>
        <v>1.0004531037607611</v>
      </c>
      <c r="E106">
        <f t="shared" si="54"/>
        <v>1.0018691588785047</v>
      </c>
      <c r="F106">
        <v>1</v>
      </c>
      <c r="G106">
        <f t="shared" si="54"/>
        <v>1</v>
      </c>
      <c r="H106">
        <f t="shared" si="54"/>
        <v>1</v>
      </c>
      <c r="I106">
        <f t="shared" si="54"/>
        <v>0.99891067538126366</v>
      </c>
      <c r="K106">
        <v>1</v>
      </c>
      <c r="L106">
        <v>1</v>
      </c>
      <c r="M106">
        <f t="shared" ref="M106:P106" si="55">M101/M98</f>
        <v>1</v>
      </c>
      <c r="N106">
        <f t="shared" si="55"/>
        <v>1</v>
      </c>
      <c r="O106">
        <f t="shared" si="55"/>
        <v>0.99891067538126366</v>
      </c>
      <c r="P106">
        <f t="shared" si="55"/>
        <v>0.99954689623923876</v>
      </c>
      <c r="Q106">
        <f>Q101/Q98</f>
        <v>0.99949418310571569</v>
      </c>
      <c r="R106">
        <f t="shared" ref="R106" si="56">R101/R98</f>
        <v>1.0018691588785047</v>
      </c>
    </row>
  </sheetData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C82277-C7E5-4ECE-A1B8-C206D1499694}">
  <dimension ref="A1:I15"/>
  <sheetViews>
    <sheetView workbookViewId="0">
      <selection activeCell="B4" sqref="B4"/>
    </sheetView>
  </sheetViews>
  <sheetFormatPr defaultRowHeight="14"/>
  <sheetData>
    <row r="1" spans="1:9">
      <c r="A1" s="2" t="s">
        <v>88</v>
      </c>
      <c r="B1" s="8" t="s">
        <v>62</v>
      </c>
      <c r="C1" s="8" t="s">
        <v>59</v>
      </c>
      <c r="D1" s="8" t="s">
        <v>79</v>
      </c>
      <c r="E1" s="8" t="s">
        <v>80</v>
      </c>
      <c r="F1" s="8" t="s">
        <v>81</v>
      </c>
      <c r="G1" s="8" t="s">
        <v>60</v>
      </c>
      <c r="H1" s="8" t="s">
        <v>58</v>
      </c>
      <c r="I1" s="8" t="s">
        <v>61</v>
      </c>
    </row>
    <row r="2" spans="1:9">
      <c r="A2" s="2" t="s">
        <v>89</v>
      </c>
      <c r="B2">
        <v>4.4400000000000004</v>
      </c>
      <c r="C2">
        <v>56.62</v>
      </c>
      <c r="D2">
        <v>16.45</v>
      </c>
      <c r="E2">
        <v>6.06</v>
      </c>
      <c r="F2">
        <v>8.61</v>
      </c>
      <c r="G2">
        <v>17.079999999999998</v>
      </c>
      <c r="H2">
        <v>16.93</v>
      </c>
      <c r="I2">
        <v>9.99</v>
      </c>
    </row>
    <row r="3" spans="1:9">
      <c r="A3" s="2" t="s">
        <v>90</v>
      </c>
      <c r="B3">
        <v>15.9977</v>
      </c>
      <c r="C3">
        <v>229.1866</v>
      </c>
      <c r="D3">
        <v>26.5443</v>
      </c>
      <c r="E3">
        <v>15.6249</v>
      </c>
      <c r="F3">
        <v>27.610600000000002</v>
      </c>
      <c r="G3">
        <v>113.10120000000001</v>
      </c>
      <c r="H3">
        <v>195.87110000000001</v>
      </c>
      <c r="I3">
        <v>88.183400000000006</v>
      </c>
    </row>
    <row r="5" spans="1:9">
      <c r="A5" s="2" t="s">
        <v>91</v>
      </c>
      <c r="B5" s="8" t="s">
        <v>62</v>
      </c>
      <c r="C5" s="8" t="s">
        <v>59</v>
      </c>
      <c r="D5" s="8" t="s">
        <v>79</v>
      </c>
      <c r="E5" s="8" t="s">
        <v>80</v>
      </c>
      <c r="F5" s="8" t="s">
        <v>81</v>
      </c>
      <c r="G5" s="8" t="s">
        <v>60</v>
      </c>
      <c r="H5" s="8" t="s">
        <v>58</v>
      </c>
      <c r="I5" s="8" t="s">
        <v>61</v>
      </c>
    </row>
    <row r="6" spans="1:9">
      <c r="A6" s="2" t="s">
        <v>89</v>
      </c>
      <c r="B6">
        <v>4.41</v>
      </c>
      <c r="C6">
        <v>46.71</v>
      </c>
      <c r="D6">
        <v>16.14</v>
      </c>
      <c r="E6">
        <v>6.03</v>
      </c>
      <c r="F6">
        <v>6.45</v>
      </c>
      <c r="G6">
        <v>15.84</v>
      </c>
      <c r="H6">
        <v>12.88</v>
      </c>
      <c r="I6">
        <v>6.97</v>
      </c>
    </row>
    <row r="7" spans="1:9">
      <c r="A7" s="2" t="s">
        <v>90</v>
      </c>
      <c r="B7">
        <v>15.908899999999999</v>
      </c>
      <c r="C7">
        <v>172.85659999999999</v>
      </c>
      <c r="D7">
        <v>24.527200000000001</v>
      </c>
      <c r="E7">
        <v>14.798400000000001</v>
      </c>
      <c r="F7">
        <v>14.1393</v>
      </c>
      <c r="G7">
        <v>101.16549999999999</v>
      </c>
      <c r="H7">
        <v>71.864800000000002</v>
      </c>
      <c r="I7">
        <v>53.775700000000001</v>
      </c>
    </row>
    <row r="9" spans="1:9">
      <c r="A9" s="2" t="s">
        <v>92</v>
      </c>
      <c r="B9" s="8" t="s">
        <v>62</v>
      </c>
      <c r="C9" s="8" t="s">
        <v>59</v>
      </c>
      <c r="D9" s="8" t="s">
        <v>79</v>
      </c>
      <c r="E9" s="8" t="s">
        <v>80</v>
      </c>
      <c r="F9" s="8" t="s">
        <v>81</v>
      </c>
      <c r="G9" s="8" t="s">
        <v>60</v>
      </c>
      <c r="H9" s="8" t="s">
        <v>58</v>
      </c>
      <c r="I9" s="8" t="s">
        <v>61</v>
      </c>
    </row>
    <row r="10" spans="1:9">
      <c r="A10" s="2" t="s">
        <v>89</v>
      </c>
      <c r="B10">
        <v>4.41</v>
      </c>
      <c r="C10">
        <v>46.71</v>
      </c>
      <c r="D10">
        <v>16.13</v>
      </c>
      <c r="E10">
        <v>5.98</v>
      </c>
      <c r="F10">
        <v>6.42</v>
      </c>
      <c r="G10">
        <v>15.83</v>
      </c>
      <c r="H10">
        <v>12.81</v>
      </c>
      <c r="I10">
        <v>6.95</v>
      </c>
    </row>
    <row r="11" spans="1:9">
      <c r="A11" s="2" t="s">
        <v>90</v>
      </c>
      <c r="B11">
        <v>15.908899999999999</v>
      </c>
      <c r="C11">
        <v>172.85659999999999</v>
      </c>
      <c r="D11">
        <v>24.482099999999999</v>
      </c>
      <c r="E11">
        <v>14.730600000000001</v>
      </c>
      <c r="F11">
        <v>14.0464</v>
      </c>
      <c r="G11">
        <v>101.1375</v>
      </c>
      <c r="H11">
        <v>71.330500000000001</v>
      </c>
      <c r="I11">
        <v>53.615400000000001</v>
      </c>
    </row>
    <row r="13" spans="1:9">
      <c r="A13" s="2" t="s">
        <v>93</v>
      </c>
      <c r="B13" s="8" t="s">
        <v>62</v>
      </c>
      <c r="C13" s="8" t="s">
        <v>59</v>
      </c>
      <c r="D13" s="8" t="s">
        <v>79</v>
      </c>
      <c r="E13" s="8" t="s">
        <v>80</v>
      </c>
      <c r="F13" s="8" t="s">
        <v>81</v>
      </c>
      <c r="G13" s="8" t="s">
        <v>60</v>
      </c>
      <c r="H13" s="8" t="s">
        <v>58</v>
      </c>
      <c r="I13" s="8" t="s">
        <v>61</v>
      </c>
    </row>
    <row r="14" spans="1:9">
      <c r="A14" s="2" t="s">
        <v>89</v>
      </c>
      <c r="B14">
        <v>2.5499999999999998</v>
      </c>
      <c r="C14">
        <v>53.07</v>
      </c>
      <c r="D14">
        <v>15.18</v>
      </c>
      <c r="E14">
        <v>5.79</v>
      </c>
      <c r="F14">
        <v>8.1999999999999993</v>
      </c>
      <c r="G14">
        <v>15.67</v>
      </c>
      <c r="H14">
        <v>15.25</v>
      </c>
      <c r="I14">
        <v>9.76</v>
      </c>
    </row>
    <row r="15" spans="1:9">
      <c r="A15" s="2" t="s">
        <v>90</v>
      </c>
      <c r="B15">
        <v>5.6173000000000002</v>
      </c>
      <c r="C15">
        <v>216.94239999999999</v>
      </c>
      <c r="D15">
        <v>24.9438</v>
      </c>
      <c r="E15">
        <v>15.2468</v>
      </c>
      <c r="F15">
        <v>27.0014</v>
      </c>
      <c r="G15">
        <v>103.91160000000001</v>
      </c>
      <c r="H15">
        <v>195.27850000000001</v>
      </c>
      <c r="I15">
        <v>86.048699999999997</v>
      </c>
    </row>
  </sheetData>
  <phoneticPr fontId="10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EEEA87-302E-4EE5-812D-C1D210AF0EC2}">
  <dimension ref="A1:I42"/>
  <sheetViews>
    <sheetView zoomScale="85" zoomScaleNormal="85" workbookViewId="0">
      <selection activeCell="L35" sqref="L35"/>
    </sheetView>
  </sheetViews>
  <sheetFormatPr defaultRowHeight="14"/>
  <cols>
    <col min="2" max="2" width="10" bestFit="1" customWidth="1"/>
  </cols>
  <sheetData>
    <row r="1" spans="1:9">
      <c r="A1" s="2" t="s">
        <v>63</v>
      </c>
      <c r="B1" s="8" t="s">
        <v>58</v>
      </c>
      <c r="C1" s="8" t="s">
        <v>59</v>
      </c>
      <c r="D1" s="8" t="s">
        <v>60</v>
      </c>
      <c r="E1" s="8" t="s">
        <v>61</v>
      </c>
      <c r="F1" s="8" t="s">
        <v>62</v>
      </c>
      <c r="G1" s="8" t="s">
        <v>47</v>
      </c>
      <c r="H1" s="8" t="s">
        <v>54</v>
      </c>
      <c r="I1" s="8" t="s">
        <v>55</v>
      </c>
    </row>
    <row r="2" spans="1:9" ht="14.5">
      <c r="A2" s="7" t="s">
        <v>64</v>
      </c>
      <c r="B2" s="14">
        <v>59931612</v>
      </c>
      <c r="C2" s="14">
        <v>1955253</v>
      </c>
      <c r="D2" s="14">
        <v>4578541</v>
      </c>
      <c r="E2" s="14">
        <v>2302152</v>
      </c>
      <c r="F2" s="14">
        <v>145327</v>
      </c>
      <c r="G2" s="14">
        <v>201851</v>
      </c>
      <c r="H2" s="14">
        <v>200474</v>
      </c>
      <c r="I2" s="14">
        <v>236796</v>
      </c>
    </row>
    <row r="3" spans="1:9" ht="14.5">
      <c r="A3" s="7" t="s">
        <v>65</v>
      </c>
      <c r="B3" s="14">
        <v>47027330</v>
      </c>
      <c r="C3" s="14">
        <v>5257531</v>
      </c>
      <c r="D3" s="14">
        <v>1793495</v>
      </c>
      <c r="E3" s="14">
        <v>1941273</v>
      </c>
      <c r="F3" s="14">
        <v>958253</v>
      </c>
      <c r="G3" s="14">
        <v>21485746</v>
      </c>
      <c r="H3" s="14">
        <v>5358497</v>
      </c>
      <c r="I3" s="14">
        <v>4354530</v>
      </c>
    </row>
    <row r="4" spans="1:9" ht="14.5">
      <c r="A4" s="7" t="s">
        <v>66</v>
      </c>
      <c r="B4" s="14">
        <v>206089891725647</v>
      </c>
      <c r="C4" s="14">
        <v>1285164437677</v>
      </c>
      <c r="D4" s="14">
        <v>6532671418737</v>
      </c>
      <c r="E4" s="14">
        <v>2302214330786</v>
      </c>
      <c r="F4" s="14">
        <v>153557700430</v>
      </c>
      <c r="G4" s="14">
        <v>8427530287723</v>
      </c>
      <c r="H4" s="14">
        <v>2051253907339</v>
      </c>
      <c r="I4" s="14">
        <v>2164348540401</v>
      </c>
    </row>
    <row r="5" spans="1:9" ht="14.5">
      <c r="A5" s="11" t="s">
        <v>68</v>
      </c>
      <c r="B5" s="14">
        <v>0.926396</v>
      </c>
      <c r="C5" s="14">
        <v>0.96666300000000005</v>
      </c>
      <c r="D5" s="14">
        <v>0.99097000000000002</v>
      </c>
      <c r="E5" s="14">
        <v>0.99301700000000004</v>
      </c>
      <c r="F5" s="14">
        <v>0.98863599999999996</v>
      </c>
      <c r="G5" s="14">
        <v>0.97441100000000003</v>
      </c>
      <c r="H5" s="14">
        <v>0.98453900000000005</v>
      </c>
      <c r="I5" s="14">
        <v>0.93649099999999996</v>
      </c>
    </row>
    <row r="6" spans="1:9" ht="14.5">
      <c r="A6" s="7" t="s">
        <v>69</v>
      </c>
      <c r="B6" s="14">
        <v>0.92283800000000005</v>
      </c>
      <c r="C6" s="14">
        <v>0.96360299999999999</v>
      </c>
      <c r="D6" s="14">
        <v>0.99046900000000004</v>
      </c>
      <c r="E6" s="14">
        <v>0.99244900000000003</v>
      </c>
      <c r="F6" s="14">
        <v>0.98409100000000005</v>
      </c>
      <c r="G6" s="14">
        <v>0.97171600000000002</v>
      </c>
      <c r="H6" s="14">
        <v>0.98240000000000005</v>
      </c>
      <c r="I6" s="14">
        <v>0.93062999999999996</v>
      </c>
    </row>
    <row r="7" spans="1:9" ht="14.5">
      <c r="A7" s="7" t="s">
        <v>67</v>
      </c>
      <c r="B7" s="14">
        <v>8752</v>
      </c>
      <c r="C7" s="14">
        <v>0</v>
      </c>
      <c r="D7" s="14">
        <v>2374</v>
      </c>
      <c r="E7" s="14">
        <v>624</v>
      </c>
      <c r="F7" s="14">
        <v>0</v>
      </c>
      <c r="G7" s="14">
        <v>1810</v>
      </c>
      <c r="H7" s="14">
        <v>1420</v>
      </c>
      <c r="I7" s="14">
        <v>1538</v>
      </c>
    </row>
    <row r="8" spans="1:9" ht="14.5">
      <c r="A8" s="7" t="s">
        <v>70</v>
      </c>
      <c r="B8" s="14">
        <v>9.84</v>
      </c>
      <c r="C8" s="14">
        <v>29.65</v>
      </c>
      <c r="D8" s="14">
        <v>5.92</v>
      </c>
      <c r="E8" s="14">
        <v>5.56</v>
      </c>
      <c r="F8" s="14">
        <v>3.3</v>
      </c>
      <c r="G8" s="14">
        <v>9.75</v>
      </c>
      <c r="H8" s="14">
        <v>5.72</v>
      </c>
      <c r="I8" s="14">
        <v>5.96</v>
      </c>
    </row>
    <row r="9" spans="1:9" ht="14.5">
      <c r="A9" s="7" t="s">
        <v>71</v>
      </c>
      <c r="B9" s="14">
        <v>133.9</v>
      </c>
      <c r="C9" s="14">
        <v>191.72620000000001</v>
      </c>
      <c r="D9" s="14">
        <v>61.258000000000003</v>
      </c>
      <c r="E9" s="14">
        <v>70.182400000000001</v>
      </c>
      <c r="F9" s="14">
        <v>14.779</v>
      </c>
      <c r="G9" s="14">
        <v>26.264900000000001</v>
      </c>
      <c r="H9" s="14">
        <v>15.258900000000001</v>
      </c>
      <c r="I9" s="14">
        <v>24.391100000000002</v>
      </c>
    </row>
    <row r="11" spans="1:9">
      <c r="A11" s="2" t="s">
        <v>72</v>
      </c>
      <c r="B11" s="8" t="s">
        <v>58</v>
      </c>
      <c r="C11" s="8" t="s">
        <v>59</v>
      </c>
      <c r="D11" s="8" t="s">
        <v>60</v>
      </c>
      <c r="E11" s="8" t="s">
        <v>61</v>
      </c>
      <c r="F11" s="8" t="s">
        <v>62</v>
      </c>
      <c r="G11" s="8" t="s">
        <v>47</v>
      </c>
      <c r="H11" s="8" t="s">
        <v>54</v>
      </c>
      <c r="I11" s="8" t="s">
        <v>55</v>
      </c>
    </row>
    <row r="12" spans="1:9" ht="14.5">
      <c r="A12" s="7" t="s">
        <v>64</v>
      </c>
      <c r="B12" s="14">
        <v>58694316</v>
      </c>
      <c r="C12" s="14">
        <v>1931920</v>
      </c>
      <c r="D12" s="14">
        <v>4585599</v>
      </c>
      <c r="E12" s="14">
        <v>2276889</v>
      </c>
      <c r="F12" s="14">
        <v>145328</v>
      </c>
      <c r="G12" s="14">
        <v>201765</v>
      </c>
      <c r="H12" s="14">
        <v>200221</v>
      </c>
      <c r="I12" s="14">
        <v>236718</v>
      </c>
    </row>
    <row r="13" spans="1:9" ht="14.5">
      <c r="A13" s="7" t="s">
        <v>65</v>
      </c>
      <c r="B13" s="14">
        <v>46159410</v>
      </c>
      <c r="C13" s="14">
        <v>5126866</v>
      </c>
      <c r="D13" s="14">
        <v>1763577</v>
      </c>
      <c r="E13" s="14">
        <v>1938698</v>
      </c>
      <c r="F13" s="14">
        <v>957952</v>
      </c>
      <c r="G13" s="14">
        <v>21426903</v>
      </c>
      <c r="H13" s="14">
        <v>5335735</v>
      </c>
      <c r="I13" s="14">
        <v>4249564</v>
      </c>
    </row>
    <row r="14" spans="1:9" ht="14.5">
      <c r="A14" s="7" t="s">
        <v>66</v>
      </c>
      <c r="B14" s="14">
        <v>202100332873367</v>
      </c>
      <c r="C14" s="14">
        <v>1267891937108</v>
      </c>
      <c r="D14" s="14">
        <v>6499160889072</v>
      </c>
      <c r="E14" s="14">
        <v>2294063170462</v>
      </c>
      <c r="F14" s="14">
        <v>153558207850</v>
      </c>
      <c r="G14" s="14">
        <v>8405188026972</v>
      </c>
      <c r="H14" s="14">
        <v>2043015821500</v>
      </c>
      <c r="I14" s="14">
        <v>2119722781773</v>
      </c>
    </row>
    <row r="15" spans="1:9" ht="14.5">
      <c r="A15" s="11" t="s">
        <v>68</v>
      </c>
      <c r="B15" s="14">
        <v>0.92645900000000003</v>
      </c>
      <c r="C15" s="14">
        <v>0.96666300000000005</v>
      </c>
      <c r="D15" s="14">
        <v>0.99097400000000002</v>
      </c>
      <c r="E15" s="14">
        <v>0.99301700000000004</v>
      </c>
      <c r="F15" s="14">
        <v>0.98863599999999996</v>
      </c>
      <c r="G15" s="14">
        <v>0.97441100000000003</v>
      </c>
      <c r="H15" s="14">
        <v>0.98453900000000005</v>
      </c>
      <c r="I15" s="14">
        <v>0.936496</v>
      </c>
    </row>
    <row r="16" spans="1:9" ht="14.5">
      <c r="A16" s="7" t="s">
        <v>69</v>
      </c>
      <c r="B16" s="14">
        <v>0.92290399999999995</v>
      </c>
      <c r="C16" s="14">
        <v>0.96360299999999999</v>
      </c>
      <c r="D16" s="14">
        <v>0.99047399999999997</v>
      </c>
      <c r="E16" s="14">
        <v>0.99244900000000003</v>
      </c>
      <c r="F16" s="14">
        <v>0.98409100000000005</v>
      </c>
      <c r="G16" s="14">
        <v>0.97171600000000002</v>
      </c>
      <c r="H16" s="14">
        <v>0.98240000000000005</v>
      </c>
      <c r="I16" s="14">
        <v>0.93063600000000002</v>
      </c>
    </row>
    <row r="17" spans="1:9" ht="14.5">
      <c r="A17" s="7" t="s">
        <v>67</v>
      </c>
      <c r="B17" s="14">
        <v>8752</v>
      </c>
      <c r="C17" s="14">
        <v>0</v>
      </c>
      <c r="D17" s="14">
        <v>2374</v>
      </c>
      <c r="E17" s="14">
        <v>624</v>
      </c>
      <c r="F17" s="14">
        <v>0</v>
      </c>
      <c r="G17" s="14">
        <v>1810</v>
      </c>
      <c r="H17" s="14">
        <v>1422</v>
      </c>
      <c r="I17" s="14">
        <v>1536</v>
      </c>
    </row>
    <row r="18" spans="1:9" ht="14.5">
      <c r="A18" s="7" t="s">
        <v>70</v>
      </c>
      <c r="B18" s="14">
        <v>10.37</v>
      </c>
      <c r="C18" s="14">
        <v>24.56</v>
      </c>
      <c r="D18" s="14">
        <v>5.79</v>
      </c>
      <c r="E18" s="14">
        <v>5.54</v>
      </c>
      <c r="F18" s="14">
        <v>3.3</v>
      </c>
      <c r="G18" s="14">
        <v>9.59</v>
      </c>
      <c r="H18" s="14">
        <v>5.69</v>
      </c>
      <c r="I18" s="14">
        <v>5.16</v>
      </c>
    </row>
    <row r="19" spans="1:9" ht="14.5">
      <c r="A19" s="7" t="s">
        <v>71</v>
      </c>
      <c r="B19" s="14">
        <v>87.389099999999999</v>
      </c>
      <c r="C19" s="14">
        <v>150.05959999999999</v>
      </c>
      <c r="D19" s="14">
        <v>58.753700000000002</v>
      </c>
      <c r="E19" s="14">
        <v>69.938000000000002</v>
      </c>
      <c r="F19" s="14">
        <v>14.735799999999999</v>
      </c>
      <c r="G19" s="14">
        <v>24.675000000000001</v>
      </c>
      <c r="H19" s="14">
        <v>14.771000000000001</v>
      </c>
      <c r="I19" s="14">
        <v>15.9358</v>
      </c>
    </row>
    <row r="21" spans="1:9">
      <c r="A21" s="9" t="s">
        <v>44</v>
      </c>
      <c r="B21" s="8" t="s">
        <v>58</v>
      </c>
      <c r="C21" s="8" t="s">
        <v>59</v>
      </c>
      <c r="D21" s="8" t="s">
        <v>60</v>
      </c>
      <c r="E21" s="8" t="s">
        <v>61</v>
      </c>
      <c r="F21" s="8" t="s">
        <v>62</v>
      </c>
      <c r="G21" s="8" t="s">
        <v>47</v>
      </c>
      <c r="H21" s="8" t="s">
        <v>54</v>
      </c>
      <c r="I21" s="8" t="s">
        <v>55</v>
      </c>
    </row>
    <row r="22" spans="1:9" ht="14.5">
      <c r="A22" s="7" t="s">
        <v>64</v>
      </c>
      <c r="B22" s="14">
        <v>58698024</v>
      </c>
      <c r="C22" s="14">
        <v>1931920</v>
      </c>
      <c r="D22" s="14">
        <v>4588443</v>
      </c>
      <c r="E22" s="14">
        <v>2276889</v>
      </c>
      <c r="F22" s="14">
        <v>145328</v>
      </c>
      <c r="G22" s="14">
        <v>201883</v>
      </c>
      <c r="H22" s="14">
        <v>200189</v>
      </c>
      <c r="I22" s="14">
        <v>236637</v>
      </c>
    </row>
    <row r="23" spans="1:9" ht="14.5">
      <c r="A23" s="7" t="s">
        <v>65</v>
      </c>
      <c r="B23" s="14">
        <v>46158662</v>
      </c>
      <c r="C23" s="14">
        <v>5126866</v>
      </c>
      <c r="D23" s="14">
        <v>1762515</v>
      </c>
      <c r="E23" s="14">
        <v>1938698</v>
      </c>
      <c r="F23" s="14">
        <v>957952</v>
      </c>
      <c r="G23" s="14">
        <v>21431288</v>
      </c>
      <c r="H23" s="14">
        <v>5333913</v>
      </c>
      <c r="I23" s="14">
        <v>4252798</v>
      </c>
    </row>
    <row r="24" spans="1:9" ht="14.5">
      <c r="A24" s="7" t="s">
        <v>66</v>
      </c>
      <c r="B24" s="14">
        <v>202103662441592</v>
      </c>
      <c r="C24" s="14">
        <v>1267891937108</v>
      </c>
      <c r="D24" s="14">
        <v>6500317307448</v>
      </c>
      <c r="E24" s="14">
        <v>2294063170462</v>
      </c>
      <c r="F24" s="14">
        <v>153558207850</v>
      </c>
      <c r="G24" s="14">
        <v>8407029440080</v>
      </c>
      <c r="H24" s="14">
        <v>2042347388623</v>
      </c>
      <c r="I24" s="14">
        <v>2120986974846</v>
      </c>
    </row>
    <row r="25" spans="1:9" ht="14.5">
      <c r="A25" s="11" t="s">
        <v>68</v>
      </c>
      <c r="B25" s="14">
        <v>0.926786</v>
      </c>
      <c r="C25" s="14">
        <v>0.96666300000000005</v>
      </c>
      <c r="D25" s="14">
        <v>0.99097900000000005</v>
      </c>
      <c r="E25" s="14">
        <v>0.99301700000000004</v>
      </c>
      <c r="F25" s="14">
        <v>0.98863599999999996</v>
      </c>
      <c r="G25" s="14">
        <v>0.97442499999999999</v>
      </c>
      <c r="H25" s="14">
        <v>0.98454299999999995</v>
      </c>
      <c r="I25" s="14">
        <v>0.9365</v>
      </c>
    </row>
    <row r="26" spans="1:9" ht="14.5">
      <c r="A26" s="7" t="s">
        <v>69</v>
      </c>
      <c r="B26" s="14">
        <v>0.92324499999999998</v>
      </c>
      <c r="C26" s="14">
        <v>0.96360299999999999</v>
      </c>
      <c r="D26" s="14">
        <v>0.990479</v>
      </c>
      <c r="E26" s="14">
        <v>0.99244900000000003</v>
      </c>
      <c r="F26" s="14">
        <v>0.98409100000000005</v>
      </c>
      <c r="G26" s="14">
        <v>0.97173600000000004</v>
      </c>
      <c r="H26" s="14">
        <v>0.98240400000000005</v>
      </c>
      <c r="I26" s="14">
        <v>0.93064000000000002</v>
      </c>
    </row>
    <row r="27" spans="1:9" ht="14.5">
      <c r="A27" s="7" t="s">
        <v>67</v>
      </c>
      <c r="B27" s="14">
        <v>8754</v>
      </c>
      <c r="C27" s="14">
        <v>0</v>
      </c>
      <c r="D27" s="14">
        <v>2372</v>
      </c>
      <c r="E27" s="14">
        <v>624</v>
      </c>
      <c r="F27" s="14">
        <v>0</v>
      </c>
      <c r="G27" s="14">
        <v>1810</v>
      </c>
      <c r="H27" s="14">
        <v>1422</v>
      </c>
      <c r="I27" s="14">
        <v>1536</v>
      </c>
    </row>
    <row r="28" spans="1:9" ht="14.5">
      <c r="A28" s="7" t="s">
        <v>70</v>
      </c>
      <c r="B28" s="14">
        <v>10.28</v>
      </c>
      <c r="C28" s="14">
        <v>24.56</v>
      </c>
      <c r="D28" s="14">
        <v>5.78</v>
      </c>
      <c r="E28" s="14">
        <v>5.54</v>
      </c>
      <c r="F28" s="14">
        <v>3.3</v>
      </c>
      <c r="G28" s="14">
        <v>9.56</v>
      </c>
      <c r="H28" s="14">
        <v>5.68</v>
      </c>
      <c r="I28" s="14">
        <v>5.09</v>
      </c>
    </row>
    <row r="29" spans="1:9" ht="14.5">
      <c r="A29" s="7" t="s">
        <v>71</v>
      </c>
      <c r="B29" s="14">
        <v>86.317899999999995</v>
      </c>
      <c r="C29" s="14">
        <v>150.05959999999999</v>
      </c>
      <c r="D29" s="14">
        <v>58.684199999999997</v>
      </c>
      <c r="E29" s="14">
        <v>69.938000000000002</v>
      </c>
      <c r="F29" s="14">
        <v>14.735799999999999</v>
      </c>
      <c r="G29" s="14">
        <v>24.486499999999999</v>
      </c>
      <c r="H29" s="14">
        <v>14.7311</v>
      </c>
      <c r="I29" s="14">
        <v>15.6191</v>
      </c>
    </row>
    <row r="31" spans="1:9">
      <c r="A31" s="9" t="s">
        <v>45</v>
      </c>
      <c r="B31" s="8" t="s">
        <v>58</v>
      </c>
      <c r="C31" s="8" t="s">
        <v>59</v>
      </c>
      <c r="D31" s="8" t="s">
        <v>60</v>
      </c>
      <c r="E31" s="8" t="s">
        <v>61</v>
      </c>
      <c r="F31" s="8" t="s">
        <v>62</v>
      </c>
      <c r="G31" s="8" t="s">
        <v>47</v>
      </c>
      <c r="H31" s="8" t="s">
        <v>54</v>
      </c>
      <c r="I31" s="8" t="s">
        <v>55</v>
      </c>
    </row>
    <row r="32" spans="1:9" ht="14.5">
      <c r="A32" s="7" t="s">
        <v>64</v>
      </c>
      <c r="B32" s="14">
        <v>13756171</v>
      </c>
      <c r="C32" s="14">
        <v>6919</v>
      </c>
      <c r="D32" s="14">
        <v>1542955</v>
      </c>
      <c r="E32" s="14">
        <v>103181</v>
      </c>
      <c r="F32" s="14">
        <v>37663</v>
      </c>
      <c r="G32" s="14">
        <v>31171</v>
      </c>
      <c r="H32" s="14">
        <v>20423</v>
      </c>
      <c r="I32" s="14">
        <v>24807</v>
      </c>
    </row>
    <row r="33" spans="1:9" ht="14.5">
      <c r="A33" s="7" t="s">
        <v>65</v>
      </c>
      <c r="B33" s="14">
        <v>39754959</v>
      </c>
      <c r="C33" s="14">
        <v>5017207</v>
      </c>
      <c r="D33" s="14">
        <v>1650737</v>
      </c>
      <c r="E33" s="14">
        <v>1876323</v>
      </c>
      <c r="F33" s="14">
        <v>861511</v>
      </c>
      <c r="G33" s="14">
        <v>20471072</v>
      </c>
      <c r="H33" s="14">
        <v>5251128</v>
      </c>
      <c r="I33" s="14">
        <v>4204692</v>
      </c>
    </row>
    <row r="34" spans="1:9" ht="14.5">
      <c r="A34" s="7" t="s">
        <v>66</v>
      </c>
      <c r="B34" s="14">
        <v>121894359154652</v>
      </c>
      <c r="C34" s="14">
        <v>146583631388</v>
      </c>
      <c r="D34" s="14">
        <v>3596680935045</v>
      </c>
      <c r="E34" s="14">
        <v>1738140107056</v>
      </c>
      <c r="F34" s="14">
        <v>39926773017</v>
      </c>
      <c r="G34" s="14">
        <v>7775169493256</v>
      </c>
      <c r="H34" s="14">
        <v>1870369982216</v>
      </c>
      <c r="I34" s="14">
        <v>1816627380536</v>
      </c>
    </row>
    <row r="35" spans="1:9" ht="14.5">
      <c r="A35" s="7" t="s">
        <v>68</v>
      </c>
      <c r="B35" s="14">
        <v>0.91017999999999999</v>
      </c>
      <c r="C35" s="14">
        <v>0.89715699999999998</v>
      </c>
      <c r="D35" s="14">
        <v>0.98399800000000004</v>
      </c>
      <c r="E35" s="14">
        <v>0.98809000000000002</v>
      </c>
      <c r="F35" s="14">
        <v>0.51927400000000001</v>
      </c>
      <c r="G35" s="14">
        <v>0.97302200000000005</v>
      </c>
      <c r="H35" s="14">
        <v>0.97913799999999995</v>
      </c>
      <c r="I35" s="14">
        <v>0.93191400000000002</v>
      </c>
    </row>
    <row r="36" spans="1:9" ht="14.5">
      <c r="A36" s="7" t="s">
        <v>69</v>
      </c>
      <c r="B36" s="14">
        <v>0.90588500000000005</v>
      </c>
      <c r="C36" s="14">
        <v>0.88660399999999995</v>
      </c>
      <c r="D36" s="14">
        <v>0.98306300000000002</v>
      </c>
      <c r="E36" s="14">
        <v>0.98707100000000003</v>
      </c>
      <c r="F36" s="14">
        <v>5.8957000000000002E-2</v>
      </c>
      <c r="G36" s="14">
        <v>0.97011499999999995</v>
      </c>
      <c r="H36" s="14">
        <v>0.97567000000000004</v>
      </c>
      <c r="I36" s="14">
        <v>0.92537100000000005</v>
      </c>
    </row>
    <row r="37" spans="1:9" ht="14.5">
      <c r="A37" s="7" t="s">
        <v>73</v>
      </c>
      <c r="B37" s="14">
        <v>0.30912600000000001</v>
      </c>
      <c r="C37" s="14">
        <v>0.94277699999999998</v>
      </c>
      <c r="D37" s="14">
        <v>0.38508599999999998</v>
      </c>
      <c r="E37" s="14">
        <v>0.82011100000000003</v>
      </c>
      <c r="F37" s="14">
        <v>0.74034599999999995</v>
      </c>
      <c r="G37" s="14">
        <v>0.72163500000000003</v>
      </c>
      <c r="H37" s="14">
        <v>0.803643</v>
      </c>
      <c r="I37" s="14">
        <v>0.78137699999999999</v>
      </c>
    </row>
    <row r="38" spans="1:9" ht="14.5">
      <c r="A38" s="7" t="s">
        <v>67</v>
      </c>
      <c r="B38" s="14">
        <v>8752</v>
      </c>
      <c r="C38" s="14">
        <v>0</v>
      </c>
      <c r="D38" s="14">
        <v>2374</v>
      </c>
      <c r="E38" s="14">
        <v>624</v>
      </c>
      <c r="F38" s="14">
        <v>0</v>
      </c>
      <c r="G38" s="14">
        <v>1810</v>
      </c>
      <c r="H38" s="14">
        <v>1420</v>
      </c>
      <c r="I38" s="14">
        <v>1536</v>
      </c>
    </row>
    <row r="39" spans="1:9" ht="14.5">
      <c r="A39" s="7" t="s">
        <v>70</v>
      </c>
      <c r="B39" s="14">
        <v>8.34</v>
      </c>
      <c r="C39" s="14">
        <v>28.28</v>
      </c>
      <c r="D39" s="14">
        <v>2.25</v>
      </c>
      <c r="E39" s="14">
        <v>5.42</v>
      </c>
      <c r="F39" s="14">
        <v>2.2200000000000002</v>
      </c>
      <c r="G39" s="14">
        <v>9.09</v>
      </c>
      <c r="H39" s="14">
        <v>5.46</v>
      </c>
      <c r="I39" s="14">
        <v>5.65</v>
      </c>
    </row>
    <row r="40" spans="1:9" ht="14.5">
      <c r="A40" s="7" t="s">
        <v>71</v>
      </c>
      <c r="B40" s="14">
        <v>146.47710000000001</v>
      </c>
      <c r="C40" s="14">
        <v>184.34379999999999</v>
      </c>
      <c r="D40" s="14">
        <v>22.234999999999999</v>
      </c>
      <c r="E40" s="14">
        <v>69.724699999999999</v>
      </c>
      <c r="F40" s="14">
        <v>5.3522999999999996</v>
      </c>
      <c r="G40" s="14">
        <v>25.238800000000001</v>
      </c>
      <c r="H40" s="14">
        <v>14.8992</v>
      </c>
      <c r="I40" s="14">
        <v>24.057099999999998</v>
      </c>
    </row>
    <row r="42" spans="1:9">
      <c r="A42" s="10" t="s">
        <v>74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977BA-D8E5-419B-B2A5-BA558B8AFED5}">
  <dimension ref="A1:I42"/>
  <sheetViews>
    <sheetView tabSelected="1" topLeftCell="A28" workbookViewId="0">
      <selection activeCell="F46" sqref="F46"/>
    </sheetView>
  </sheetViews>
  <sheetFormatPr defaultRowHeight="14"/>
  <cols>
    <col min="2" max="5" width="13.7265625" bestFit="1" customWidth="1"/>
    <col min="6" max="6" width="12.54296875" bestFit="1" customWidth="1"/>
    <col min="8" max="9" width="13.7265625" bestFit="1" customWidth="1"/>
  </cols>
  <sheetData>
    <row r="1" spans="1:9">
      <c r="A1" s="2" t="s">
        <v>63</v>
      </c>
      <c r="B1" s="8" t="s">
        <v>58</v>
      </c>
      <c r="C1" s="8" t="s">
        <v>59</v>
      </c>
      <c r="D1" s="8" t="s">
        <v>60</v>
      </c>
      <c r="E1" s="8" t="s">
        <v>61</v>
      </c>
      <c r="F1" s="8" t="s">
        <v>62</v>
      </c>
      <c r="G1" s="8" t="s">
        <v>47</v>
      </c>
      <c r="H1" s="8" t="s">
        <v>54</v>
      </c>
      <c r="I1" s="8" t="s">
        <v>55</v>
      </c>
    </row>
    <row r="2" spans="1:9">
      <c r="A2" s="7" t="s">
        <v>64</v>
      </c>
      <c r="B2" s="7">
        <v>46106087</v>
      </c>
      <c r="C2" s="7">
        <v>982258</v>
      </c>
      <c r="D2" s="7">
        <v>2663856</v>
      </c>
      <c r="E2" s="7">
        <v>1637726</v>
      </c>
      <c r="F2" s="7">
        <v>130019</v>
      </c>
      <c r="G2" s="7">
        <v>155503</v>
      </c>
      <c r="H2" s="7">
        <v>188312</v>
      </c>
      <c r="I2" s="7">
        <v>234763</v>
      </c>
    </row>
    <row r="3" spans="1:9">
      <c r="A3" s="7" t="s">
        <v>65</v>
      </c>
      <c r="B3" s="7">
        <v>36400569</v>
      </c>
      <c r="C3" s="3">
        <v>3242522</v>
      </c>
      <c r="D3" s="7">
        <v>1303397</v>
      </c>
      <c r="E3" s="7">
        <v>1577670</v>
      </c>
      <c r="F3" s="7">
        <v>841089</v>
      </c>
      <c r="G3" s="7">
        <v>5128910</v>
      </c>
      <c r="H3" s="7">
        <v>4498814</v>
      </c>
      <c r="I3" s="7">
        <v>4021016</v>
      </c>
    </row>
    <row r="4" spans="1:9">
      <c r="A4" s="7" t="s">
        <v>66</v>
      </c>
      <c r="B4" s="7">
        <v>159118863726434</v>
      </c>
      <c r="C4" s="7">
        <v>662713348614</v>
      </c>
      <c r="D4" s="7">
        <v>4147371147175</v>
      </c>
      <c r="E4" s="7">
        <v>1817473791889</v>
      </c>
      <c r="F4" s="7">
        <v>137379649984</v>
      </c>
      <c r="G4" s="7">
        <v>2181155589843</v>
      </c>
      <c r="H4" s="7">
        <v>1738046235260</v>
      </c>
      <c r="I4" s="7">
        <v>2020166085144</v>
      </c>
    </row>
    <row r="5" spans="1:9">
      <c r="A5" s="11" t="s">
        <v>68</v>
      </c>
      <c r="B5" s="11">
        <v>0.96487100000000003</v>
      </c>
      <c r="C5" s="11">
        <v>0.975831</v>
      </c>
      <c r="D5" s="11">
        <v>0.99428499999999997</v>
      </c>
      <c r="E5" s="11">
        <v>0.99496399999999996</v>
      </c>
      <c r="F5" s="11">
        <v>0.99088799999999999</v>
      </c>
      <c r="G5" s="7">
        <v>0.98280000000000001</v>
      </c>
      <c r="H5" s="11">
        <v>0.98851900000000004</v>
      </c>
      <c r="I5" s="11">
        <v>0.96776300000000004</v>
      </c>
    </row>
    <row r="6" spans="1:9">
      <c r="A6" s="7" t="s">
        <v>69</v>
      </c>
      <c r="B6" s="7">
        <v>0.963167</v>
      </c>
      <c r="C6" s="7">
        <v>0.973306</v>
      </c>
      <c r="D6" s="7">
        <v>0.99395299999999998</v>
      </c>
      <c r="E6" s="7">
        <v>0.99454100000000001</v>
      </c>
      <c r="F6" s="7">
        <v>0.98633300000000002</v>
      </c>
      <c r="G6" s="7">
        <v>0.98093200000000003</v>
      </c>
      <c r="H6" s="7">
        <v>0.98690299999999997</v>
      </c>
      <c r="I6" s="7">
        <v>0.96451200000000004</v>
      </c>
    </row>
    <row r="7" spans="1:9">
      <c r="A7" s="7" t="s">
        <v>67</v>
      </c>
      <c r="B7" s="7">
        <v>5598</v>
      </c>
      <c r="C7" s="7">
        <v>0</v>
      </c>
      <c r="D7" s="7">
        <v>1202</v>
      </c>
      <c r="E7" s="7">
        <v>448</v>
      </c>
      <c r="F7" s="7">
        <v>0</v>
      </c>
      <c r="G7" s="7">
        <v>1464</v>
      </c>
      <c r="H7" s="7">
        <v>1272</v>
      </c>
      <c r="I7" s="7">
        <v>1484</v>
      </c>
    </row>
    <row r="8" spans="1:9">
      <c r="A8" s="7" t="s">
        <v>70</v>
      </c>
      <c r="B8" s="7">
        <v>7.83</v>
      </c>
      <c r="C8" s="3">
        <v>19.760000000000002</v>
      </c>
      <c r="D8" s="7">
        <v>2.74</v>
      </c>
      <c r="E8" s="7">
        <v>3.86</v>
      </c>
      <c r="F8" s="7">
        <v>2</v>
      </c>
      <c r="G8" s="7">
        <v>7.59</v>
      </c>
      <c r="H8" s="7">
        <v>5.33</v>
      </c>
      <c r="I8" s="7">
        <v>5.21</v>
      </c>
    </row>
    <row r="9" spans="1:9">
      <c r="A9" s="7" t="s">
        <v>71</v>
      </c>
      <c r="B9" s="3">
        <v>102.563</v>
      </c>
      <c r="C9" s="7">
        <v>176.44329999999999</v>
      </c>
      <c r="D9" s="7">
        <v>36.0642</v>
      </c>
      <c r="E9" s="7">
        <v>64.866299999999995</v>
      </c>
      <c r="F9" s="7">
        <v>14.0982</v>
      </c>
      <c r="G9" s="7">
        <v>27.590699999999998</v>
      </c>
      <c r="H9" s="7">
        <v>14.962899999999999</v>
      </c>
      <c r="I9" s="7">
        <v>21.4956</v>
      </c>
    </row>
    <row r="11" spans="1:9">
      <c r="A11" s="2" t="s">
        <v>72</v>
      </c>
      <c r="B11" s="8" t="s">
        <v>58</v>
      </c>
      <c r="C11" s="8" t="s">
        <v>59</v>
      </c>
      <c r="D11" s="8" t="s">
        <v>60</v>
      </c>
      <c r="E11" s="8" t="s">
        <v>61</v>
      </c>
      <c r="F11" s="8" t="s">
        <v>62</v>
      </c>
      <c r="G11" s="8" t="s">
        <v>47</v>
      </c>
      <c r="H11" s="8" t="s">
        <v>54</v>
      </c>
      <c r="I11" s="8" t="s">
        <v>55</v>
      </c>
    </row>
    <row r="12" spans="1:9" ht="14.5">
      <c r="A12" s="7" t="s">
        <v>64</v>
      </c>
      <c r="B12" s="14">
        <v>45379377</v>
      </c>
      <c r="C12" s="14">
        <v>955850</v>
      </c>
      <c r="D12" s="14">
        <v>2677403</v>
      </c>
      <c r="E12" s="14">
        <v>1645691</v>
      </c>
      <c r="F12" s="14">
        <v>130019</v>
      </c>
      <c r="G12" s="14">
        <v>155359</v>
      </c>
      <c r="H12" s="14">
        <v>188250</v>
      </c>
      <c r="I12" s="14">
        <v>234873</v>
      </c>
    </row>
    <row r="13" spans="1:9" ht="14.5">
      <c r="A13" s="7" t="s">
        <v>65</v>
      </c>
      <c r="B13" s="14">
        <v>36127542</v>
      </c>
      <c r="C13" s="14">
        <v>3167064</v>
      </c>
      <c r="D13" s="14">
        <v>1296094</v>
      </c>
      <c r="E13" s="14">
        <v>1576210</v>
      </c>
      <c r="F13" s="14">
        <v>840834</v>
      </c>
      <c r="G13" s="14">
        <v>5114053</v>
      </c>
      <c r="H13" s="14">
        <v>4494706</v>
      </c>
      <c r="I13" s="14">
        <v>4024900</v>
      </c>
    </row>
    <row r="14" spans="1:9" ht="14.5">
      <c r="A14" s="7" t="s">
        <v>66</v>
      </c>
      <c r="B14" s="14">
        <v>157385372733566</v>
      </c>
      <c r="C14" s="14">
        <v>645230175341</v>
      </c>
      <c r="D14" s="14">
        <v>4149886483943</v>
      </c>
      <c r="E14" s="14">
        <v>1817968198726</v>
      </c>
      <c r="F14" s="14">
        <v>137379439525</v>
      </c>
      <c r="G14" s="14">
        <v>2175321065886</v>
      </c>
      <c r="H14" s="14">
        <v>1736546582394</v>
      </c>
      <c r="I14" s="14">
        <v>2021961358411</v>
      </c>
    </row>
    <row r="15" spans="1:9" ht="14.5">
      <c r="A15" s="11" t="s">
        <v>68</v>
      </c>
      <c r="B15" s="14">
        <v>0.96490100000000001</v>
      </c>
      <c r="C15" s="14">
        <v>0.97583200000000003</v>
      </c>
      <c r="D15" s="14">
        <v>0.99428499999999997</v>
      </c>
      <c r="E15" s="14">
        <v>0.99496399999999996</v>
      </c>
      <c r="F15" s="14">
        <v>0.99088799999999999</v>
      </c>
      <c r="G15" s="14">
        <v>0.98280100000000004</v>
      </c>
      <c r="H15" s="14">
        <v>0.98851900000000004</v>
      </c>
      <c r="I15" s="14">
        <v>0.96787100000000004</v>
      </c>
    </row>
    <row r="16" spans="1:9" ht="14.5">
      <c r="A16" s="7" t="s">
        <v>69</v>
      </c>
      <c r="B16" s="14">
        <v>0.963198</v>
      </c>
      <c r="C16" s="14">
        <v>0.97330700000000003</v>
      </c>
      <c r="D16" s="14">
        <v>0.99395299999999998</v>
      </c>
      <c r="E16" s="14">
        <v>0.99454100000000001</v>
      </c>
      <c r="F16" s="14">
        <v>0.98633300000000002</v>
      </c>
      <c r="G16" s="14">
        <v>0.98093399999999997</v>
      </c>
      <c r="H16" s="14">
        <v>0.986904</v>
      </c>
      <c r="I16" s="14">
        <v>0.96462800000000004</v>
      </c>
    </row>
    <row r="17" spans="1:9" ht="14.5">
      <c r="A17" s="7" t="s">
        <v>67</v>
      </c>
      <c r="B17" s="14">
        <v>5602</v>
      </c>
      <c r="C17" s="14">
        <v>0</v>
      </c>
      <c r="D17" s="14">
        <v>1202</v>
      </c>
      <c r="E17" s="14">
        <v>448</v>
      </c>
      <c r="F17" s="14">
        <v>0</v>
      </c>
      <c r="G17" s="14">
        <v>1464</v>
      </c>
      <c r="H17" s="14">
        <v>1272</v>
      </c>
      <c r="I17" s="14">
        <v>1484</v>
      </c>
    </row>
    <row r="18" spans="1:9" ht="14.5">
      <c r="A18" s="7" t="s">
        <v>70</v>
      </c>
      <c r="B18" s="14">
        <v>7.66</v>
      </c>
      <c r="C18" s="14">
        <v>16.399999999999999</v>
      </c>
      <c r="D18" s="14">
        <v>2.68</v>
      </c>
      <c r="E18" s="14">
        <v>3.85</v>
      </c>
      <c r="F18" s="14">
        <v>2</v>
      </c>
      <c r="G18" s="14">
        <v>7.54</v>
      </c>
      <c r="H18" s="14">
        <v>5.33</v>
      </c>
      <c r="I18" s="14">
        <v>5.08</v>
      </c>
    </row>
    <row r="19" spans="1:9" ht="14.5">
      <c r="A19" s="7" t="s">
        <v>71</v>
      </c>
      <c r="B19" s="14">
        <v>75.981300000000005</v>
      </c>
      <c r="C19" s="14">
        <v>140.15100000000001</v>
      </c>
      <c r="D19" s="14">
        <v>34.741999999999997</v>
      </c>
      <c r="E19" s="14">
        <v>64.636300000000006</v>
      </c>
      <c r="F19" s="14">
        <v>14.0639</v>
      </c>
      <c r="G19" s="14">
        <v>26.842300000000002</v>
      </c>
      <c r="H19" s="14">
        <v>14.5253</v>
      </c>
      <c r="I19" s="14">
        <v>18.582899999999999</v>
      </c>
    </row>
    <row r="21" spans="1:9">
      <c r="A21" s="9" t="s">
        <v>44</v>
      </c>
      <c r="B21" s="8" t="s">
        <v>58</v>
      </c>
      <c r="C21" s="8" t="s">
        <v>59</v>
      </c>
      <c r="D21" s="8" t="s">
        <v>60</v>
      </c>
      <c r="E21" s="8" t="s">
        <v>61</v>
      </c>
      <c r="F21" s="8" t="s">
        <v>62</v>
      </c>
      <c r="G21" s="8" t="s">
        <v>47</v>
      </c>
      <c r="H21" s="8" t="s">
        <v>54</v>
      </c>
      <c r="I21" s="8" t="s">
        <v>55</v>
      </c>
    </row>
    <row r="22" spans="1:9" ht="14.5">
      <c r="A22" s="7" t="s">
        <v>64</v>
      </c>
      <c r="B22" s="14">
        <v>45364969</v>
      </c>
      <c r="C22" s="14">
        <v>955850</v>
      </c>
      <c r="D22" s="14">
        <v>2677403</v>
      </c>
      <c r="E22" s="14">
        <v>1645691</v>
      </c>
      <c r="F22" s="14">
        <v>130019</v>
      </c>
      <c r="G22" s="14">
        <v>155182</v>
      </c>
      <c r="H22" s="14">
        <v>188250</v>
      </c>
      <c r="I22" s="14">
        <v>234614</v>
      </c>
    </row>
    <row r="23" spans="1:9" ht="14.5">
      <c r="A23" s="7" t="s">
        <v>65</v>
      </c>
      <c r="B23" s="14">
        <v>36112758</v>
      </c>
      <c r="C23" s="14">
        <v>3167064</v>
      </c>
      <c r="D23" s="14">
        <v>1296094</v>
      </c>
      <c r="E23" s="14">
        <v>1576210</v>
      </c>
      <c r="F23" s="14">
        <v>840834</v>
      </c>
      <c r="G23" s="14">
        <v>5110888</v>
      </c>
      <c r="H23" s="14">
        <v>4494706</v>
      </c>
      <c r="I23" s="14">
        <v>4023650</v>
      </c>
    </row>
    <row r="24" spans="1:9" ht="14.5">
      <c r="A24" s="7" t="s">
        <v>66</v>
      </c>
      <c r="B24" s="14">
        <v>157326869861081</v>
      </c>
      <c r="C24" s="14">
        <v>645230175341</v>
      </c>
      <c r="D24" s="14">
        <v>4149886483943</v>
      </c>
      <c r="E24" s="14">
        <v>1817968198726</v>
      </c>
      <c r="F24" s="14">
        <v>137379439525</v>
      </c>
      <c r="G24" s="14">
        <v>2173845728025</v>
      </c>
      <c r="H24" s="14">
        <v>1736546582394</v>
      </c>
      <c r="I24" s="14">
        <v>2021084197169</v>
      </c>
    </row>
    <row r="25" spans="1:9" ht="14.5">
      <c r="A25" s="11" t="s">
        <v>68</v>
      </c>
      <c r="B25" s="14">
        <v>0.965059</v>
      </c>
      <c r="C25" s="14">
        <v>0.97583200000000003</v>
      </c>
      <c r="D25" s="14">
        <v>0.99428499999999997</v>
      </c>
      <c r="E25" s="14">
        <v>0.99496399999999996</v>
      </c>
      <c r="F25" s="14">
        <v>0.99088799999999999</v>
      </c>
      <c r="G25" s="14">
        <v>0.98281099999999999</v>
      </c>
      <c r="H25" s="14">
        <v>0.98851900000000004</v>
      </c>
      <c r="I25" s="14">
        <v>0.967889</v>
      </c>
    </row>
    <row r="26" spans="1:9" ht="14.5">
      <c r="A26" s="7" t="s">
        <v>69</v>
      </c>
      <c r="B26" s="14">
        <v>0.96336299999999997</v>
      </c>
      <c r="C26" s="14">
        <v>0.97330700000000003</v>
      </c>
      <c r="D26" s="14">
        <v>0.99395299999999998</v>
      </c>
      <c r="E26" s="14">
        <v>0.99454100000000001</v>
      </c>
      <c r="F26" s="14">
        <v>0.98633300000000002</v>
      </c>
      <c r="G26" s="14">
        <v>0.98094700000000001</v>
      </c>
      <c r="H26" s="14">
        <v>0.986904</v>
      </c>
      <c r="I26" s="14">
        <v>0.96465000000000001</v>
      </c>
    </row>
    <row r="27" spans="1:9" ht="14.5">
      <c r="A27" s="7" t="s">
        <v>67</v>
      </c>
      <c r="B27" s="14">
        <v>5606</v>
      </c>
      <c r="C27" s="14">
        <v>0</v>
      </c>
      <c r="D27" s="14">
        <v>1202</v>
      </c>
      <c r="E27" s="14">
        <v>448</v>
      </c>
      <c r="F27" s="14">
        <v>0</v>
      </c>
      <c r="G27" s="14">
        <v>1464</v>
      </c>
      <c r="H27" s="14">
        <v>1272</v>
      </c>
      <c r="I27" s="14">
        <v>1486</v>
      </c>
    </row>
    <row r="28" spans="1:9" ht="14.5">
      <c r="A28" s="7" t="s">
        <v>70</v>
      </c>
      <c r="B28" s="14">
        <v>7.64</v>
      </c>
      <c r="C28" s="14">
        <v>16.399999999999999</v>
      </c>
      <c r="D28" s="14">
        <v>2.68</v>
      </c>
      <c r="E28" s="14">
        <v>3.85</v>
      </c>
      <c r="F28" s="14">
        <v>2</v>
      </c>
      <c r="G28" s="14">
        <v>7.51</v>
      </c>
      <c r="H28" s="14">
        <v>5.33</v>
      </c>
      <c r="I28" s="14">
        <v>5.0199999999999996</v>
      </c>
    </row>
    <row r="29" spans="1:9" ht="14.5">
      <c r="A29" s="7" t="s">
        <v>71</v>
      </c>
      <c r="B29" s="14">
        <v>75.584699999999998</v>
      </c>
      <c r="C29" s="14">
        <v>140.15100000000001</v>
      </c>
      <c r="D29" s="14">
        <v>34.741999999999997</v>
      </c>
      <c r="E29" s="14">
        <v>64.636300000000006</v>
      </c>
      <c r="F29" s="14">
        <v>14.0639</v>
      </c>
      <c r="G29" s="14">
        <v>26.670300000000001</v>
      </c>
      <c r="H29" s="14">
        <v>14.5253</v>
      </c>
      <c r="I29" s="14">
        <v>18.187200000000001</v>
      </c>
    </row>
    <row r="31" spans="1:9">
      <c r="A31" s="9" t="s">
        <v>45</v>
      </c>
      <c r="B31" s="8" t="s">
        <v>58</v>
      </c>
      <c r="C31" s="8" t="s">
        <v>59</v>
      </c>
      <c r="D31" s="8" t="s">
        <v>60</v>
      </c>
      <c r="E31" s="8" t="s">
        <v>61</v>
      </c>
      <c r="F31" s="8" t="s">
        <v>62</v>
      </c>
      <c r="G31" s="8" t="s">
        <v>47</v>
      </c>
      <c r="H31" s="8" t="s">
        <v>54</v>
      </c>
      <c r="I31" s="8" t="s">
        <v>55</v>
      </c>
    </row>
    <row r="32" spans="1:9" ht="14.5">
      <c r="A32" s="7" t="s">
        <v>64</v>
      </c>
      <c r="B32" s="14">
        <v>6138276</v>
      </c>
      <c r="C32" s="14">
        <v>5362</v>
      </c>
      <c r="D32" s="14">
        <v>89925</v>
      </c>
      <c r="E32" s="14">
        <v>30903</v>
      </c>
      <c r="F32" s="14">
        <v>36496</v>
      </c>
      <c r="G32" s="14">
        <v>28127</v>
      </c>
      <c r="H32" s="14">
        <v>19576</v>
      </c>
      <c r="I32" s="14">
        <v>23632</v>
      </c>
    </row>
    <row r="33" spans="1:9" ht="14.5">
      <c r="A33" s="7" t="s">
        <v>65</v>
      </c>
      <c r="B33" s="14">
        <v>32721359</v>
      </c>
      <c r="C33" s="14">
        <v>3139485</v>
      </c>
      <c r="D33" s="14">
        <v>1226752</v>
      </c>
      <c r="E33" s="14">
        <v>1553689</v>
      </c>
      <c r="F33" s="14">
        <v>810190</v>
      </c>
      <c r="G33" s="14">
        <v>5001409</v>
      </c>
      <c r="H33" s="14">
        <v>4440018</v>
      </c>
      <c r="I33" s="14">
        <v>3911087</v>
      </c>
    </row>
    <row r="34" spans="1:9" ht="14.5">
      <c r="A34" s="7" t="s">
        <v>66</v>
      </c>
      <c r="B34" s="14">
        <v>92978602309677</v>
      </c>
      <c r="C34" s="14">
        <v>92323529475</v>
      </c>
      <c r="D34" s="14">
        <v>1717095822037</v>
      </c>
      <c r="E34" s="14">
        <v>1426748811967</v>
      </c>
      <c r="F34" s="14">
        <v>38683883656</v>
      </c>
      <c r="G34" s="14">
        <v>1931975000522</v>
      </c>
      <c r="H34" s="14">
        <v>1583298281945</v>
      </c>
      <c r="I34" s="14">
        <v>1690524205615</v>
      </c>
    </row>
    <row r="35" spans="1:9" ht="14.5">
      <c r="A35" s="7" t="s">
        <v>68</v>
      </c>
      <c r="B35" s="14">
        <v>0.93116600000000005</v>
      </c>
      <c r="C35" s="14">
        <v>0.88986200000000004</v>
      </c>
      <c r="D35" s="14">
        <v>0.98970800000000003</v>
      </c>
      <c r="E35" s="14">
        <v>0.98751500000000003</v>
      </c>
      <c r="F35" s="14">
        <v>0.52154199999999995</v>
      </c>
      <c r="G35" s="14">
        <v>0.97732200000000002</v>
      </c>
      <c r="H35" s="14">
        <v>0.98246299999999998</v>
      </c>
      <c r="I35" s="14">
        <v>0.94866099999999998</v>
      </c>
    </row>
    <row r="36" spans="1:9" ht="14.5">
      <c r="A36" s="7" t="s">
        <v>69</v>
      </c>
      <c r="B36" s="14">
        <v>0.92778400000000005</v>
      </c>
      <c r="C36" s="14">
        <v>0.86646599999999996</v>
      </c>
      <c r="D36" s="14">
        <v>0.989012</v>
      </c>
      <c r="E36" s="14">
        <v>0.98632399999999998</v>
      </c>
      <c r="F36" s="14">
        <v>6.1224000000000001E-2</v>
      </c>
      <c r="G36" s="14">
        <v>0.97432099999999999</v>
      </c>
      <c r="H36" s="14">
        <v>0.97927699999999995</v>
      </c>
      <c r="I36" s="14">
        <v>0.94335999999999998</v>
      </c>
    </row>
    <row r="37" spans="1:9" ht="14.5">
      <c r="A37" s="7" t="s">
        <v>73</v>
      </c>
      <c r="B37" s="14">
        <v>0.36801099999999998</v>
      </c>
      <c r="C37" s="14">
        <v>0.94724200000000003</v>
      </c>
      <c r="D37" s="14">
        <v>0.74010100000000001</v>
      </c>
      <c r="E37" s="14">
        <v>0.87970800000000005</v>
      </c>
      <c r="F37" s="14">
        <v>0.74042200000000002</v>
      </c>
      <c r="G37" s="14">
        <v>0.72324600000000006</v>
      </c>
      <c r="H37" s="14">
        <v>0.80455900000000002</v>
      </c>
      <c r="I37" s="14">
        <v>0.78339800000000004</v>
      </c>
    </row>
    <row r="38" spans="1:9" ht="14.5">
      <c r="A38" s="7" t="s">
        <v>67</v>
      </c>
      <c r="B38" s="14">
        <v>5602</v>
      </c>
      <c r="C38" s="14">
        <v>0</v>
      </c>
      <c r="D38" s="14">
        <v>1200</v>
      </c>
      <c r="E38" s="14">
        <v>448</v>
      </c>
      <c r="F38" s="14">
        <v>0</v>
      </c>
      <c r="G38" s="14">
        <v>1464</v>
      </c>
      <c r="H38" s="14">
        <v>1272</v>
      </c>
      <c r="I38" s="14">
        <v>1484</v>
      </c>
    </row>
    <row r="39" spans="1:9" ht="14.5">
      <c r="A39" s="7" t="s">
        <v>70</v>
      </c>
      <c r="B39" s="14">
        <v>5.99</v>
      </c>
      <c r="C39" s="14">
        <v>19.21</v>
      </c>
      <c r="D39" s="14">
        <v>1.22</v>
      </c>
      <c r="E39" s="14">
        <v>3.79</v>
      </c>
      <c r="F39" s="14">
        <v>1.28</v>
      </c>
      <c r="G39" s="14">
        <v>7.15</v>
      </c>
      <c r="H39" s="14">
        <v>5.08</v>
      </c>
      <c r="I39" s="14">
        <v>4.92</v>
      </c>
    </row>
    <row r="40" spans="1:9" ht="14.5">
      <c r="A40" s="7" t="s">
        <v>71</v>
      </c>
      <c r="B40" s="14">
        <v>122.35809999999999</v>
      </c>
      <c r="C40" s="14">
        <v>172.22020000000001</v>
      </c>
      <c r="D40" s="14">
        <v>13.651899999999999</v>
      </c>
      <c r="E40" s="14">
        <v>63.8001</v>
      </c>
      <c r="F40" s="14">
        <v>5.2976999999999999</v>
      </c>
      <c r="G40" s="14">
        <v>26.712599999999998</v>
      </c>
      <c r="H40" s="14">
        <v>14.6036</v>
      </c>
      <c r="I40" s="14">
        <v>22.024000000000001</v>
      </c>
    </row>
    <row r="42" spans="1:9">
      <c r="A42" s="10" t="s">
        <v>74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ALL</vt:lpstr>
      <vt:lpstr>msrc</vt:lpstr>
      <vt:lpstr>Ali</vt:lpstr>
      <vt:lpstr>Lun</vt:lpstr>
      <vt:lpstr>RAID3+1</vt:lpstr>
      <vt:lpstr>write_better_cause</vt:lpstr>
      <vt:lpstr>RAID5+1</vt:lpstr>
      <vt:lpstr>RAID7+1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王奎</dc:creator>
  <cp:lastModifiedBy>奎 王</cp:lastModifiedBy>
  <dcterms:created xsi:type="dcterms:W3CDTF">2023-05-12T11:15:00Z</dcterms:created>
  <dcterms:modified xsi:type="dcterms:W3CDTF">2026-05-28T06:41:53Z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